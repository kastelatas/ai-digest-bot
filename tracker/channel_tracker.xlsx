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шборд" sheetId="1" state="visible" r:id="rId1"/>
    <sheet name="Метрики" sheetId="2" state="visible" r:id="rId2"/>
    <sheet name="Закупы" sheetId="3" state="visible" r:id="rId3"/>
    <sheet name="Продажи_рекламы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0.0%"/>
    <numFmt numFmtId="166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11"/>
    </font>
    <font>
      <name val="Arial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F3FF"/>
        <bgColor rgb="FFFFFFFF"/>
      </patternFill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3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4" fontId="8" fillId="3" borderId="0" applyAlignment="1" pivotButton="0" quotePrefix="0" xfId="0">
      <alignment horizontal="general" vertical="bottom"/>
    </xf>
    <xf numFmtId="4" fontId="7" fillId="3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3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12" fillId="0" borderId="0" pivotButton="0" quotePrefix="0" xfId="0"/>
    <xf numFmtId="3" fontId="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8" fillId="3" borderId="0" applyAlignment="1" pivotButton="0" quotePrefix="0" xfId="0">
      <alignment horizontal="general" vertical="bottom"/>
    </xf>
    <xf numFmtId="4" fontId="7" fillId="3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Unknown Author</author>
  </authors>
  <commentList>
    <comment ref="B13" authorId="0" shapeId="0">
      <text>
        <t>Впишите вручную количество месяцев, за которое накоплены данные (например, если ведёте канал 2.5 месяца — впишите 2.5). Используется только для расчёта ARPU/мес ниже.</t>
      </text>
    </comment>
    <comment ref="B14" authorId="0" shapeId="0">
      <text>
        <t>Грубая оценка: выручка с рекламы / текущие подписчики / число месяцев. Не учитывает рост базы подписчиков во времени — чем быстрее рос канал, тем сильнее эта формула ЗАНИЖАЕТ реальный ARPU. Используйте как ориентир, не как точную метрику для отчёта инвестору.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7" min="1" max="1"/>
    <col width="20" customWidth="1" style="27" min="2" max="2"/>
  </cols>
  <sheetData>
    <row r="1" ht="17.35" customHeight="1" s="28">
      <c r="A1" s="29" t="inlineStr">
        <is>
          <t>Дашборд канала</t>
        </is>
      </c>
    </row>
    <row r="2" ht="15" customHeight="1" s="28">
      <c r="A2" s="30" t="inlineStr">
        <is>
          <t>Все цифры здесь — формулы, которые тянут данные с других листов. Ничего не вводите вручную, кроме B13.</t>
        </is>
      </c>
    </row>
    <row r="4" ht="15" customHeight="1" s="28">
      <c r="A4" s="31" t="inlineStr">
        <is>
          <t>Текущие подписчики</t>
        </is>
      </c>
      <c r="B4" s="32">
        <f>IFERROR(INDEX(Метрики!B5:B1000,COUNT(Метрики!B5:B1000)),0)</f>
        <v/>
      </c>
    </row>
    <row r="5" ht="15" customHeight="1" s="28">
      <c r="A5" s="31" t="inlineStr">
        <is>
          <t>Подписчики на старте отслеживания</t>
        </is>
      </c>
      <c r="B5" s="32">
        <f>IFERROR(INDEX(Метрики!B5:B1000,1),0)</f>
        <v/>
      </c>
    </row>
    <row r="6" ht="15" customHeight="1" s="28">
      <c r="A6" s="31" t="inlineStr">
        <is>
          <t>Прирост подписчиков за всё время</t>
        </is>
      </c>
      <c r="B6" s="32">
        <f>B4-B5</f>
        <v/>
      </c>
    </row>
    <row r="7" ht="15" customHeight="1" s="28">
      <c r="A7" s="31" t="inlineStr">
        <is>
          <t>Постов опубликовано всего</t>
        </is>
      </c>
      <c r="B7" s="32">
        <f>SUM(Метрики!D5:D1000)</f>
        <v/>
      </c>
    </row>
    <row r="8" ht="15" customHeight="1" s="28">
      <c r="A8" s="31" t="inlineStr">
        <is>
          <t>Рекламных размещений всего</t>
        </is>
      </c>
      <c r="B8" s="32">
        <f>COUNTA(Продажи_рекламы!B5:B1000)</f>
        <v/>
      </c>
    </row>
    <row r="9" ht="15" customHeight="1" s="28">
      <c r="A9" s="31" t="inlineStr">
        <is>
          <t>Выручка с рекламы (кроме отменённых)</t>
        </is>
      </c>
      <c r="B9" s="33">
        <f>SUMIFS(Продажи_рекламы!E5:E1000,Продажи_рекламы!J5:J1000,"&lt;&gt;Отменено")</f>
        <v/>
      </c>
    </row>
    <row r="10" ht="15" customHeight="1" s="28">
      <c r="A10" s="31" t="inlineStr">
        <is>
          <t>Потрачено на закупы всего</t>
        </is>
      </c>
      <c r="B10" s="33">
        <f>SUM(Закупы!D5:D1000)</f>
        <v/>
      </c>
    </row>
    <row r="11" ht="15" customHeight="1" s="28">
      <c r="A11" s="31" t="inlineStr">
        <is>
          <t>Баланс: реклама − закупы</t>
        </is>
      </c>
      <c r="B11" s="33">
        <f>B9-B10</f>
        <v/>
      </c>
    </row>
    <row r="12" ht="15" customHeight="1" s="28">
      <c r="A12" s="31" t="inlineStr">
        <is>
          <t>Средняя цена подписчика (закупы)</t>
        </is>
      </c>
      <c r="B12" s="33">
        <f>IFERROR(B10/SUM(Закупы!F5:F1000),0)</f>
        <v/>
      </c>
    </row>
    <row r="13" ht="15" customHeight="1" s="28">
      <c r="A13" s="31" t="inlineStr">
        <is>
          <t>Сколько месяцев отслеживаете (для ARPU)</t>
        </is>
      </c>
      <c r="B13" s="34" t="n">
        <v>1</v>
      </c>
    </row>
    <row r="14" ht="15" customHeight="1" s="28">
      <c r="A14" s="31" t="inlineStr">
        <is>
          <t>ARPU с подписчика в месяц (реклама)</t>
        </is>
      </c>
      <c r="B14" s="33">
        <f>IFERROR(B9/B4/B13,0)</f>
        <v/>
      </c>
    </row>
    <row r="16" ht="15" customHeight="1" s="28">
      <c r="A16" s="31" t="inlineStr">
        <is>
          <t>Как это использовать:</t>
        </is>
      </c>
    </row>
    <row r="17" ht="15" customHeight="1" s="28">
      <c r="A17" s="35" t="inlineStr">
        <is>
          <t>1. Заполняйте лист Метрики раз в день (дата + подписчики + посты).</t>
        </is>
      </c>
    </row>
    <row r="18" ht="15" customHeight="1" s="28">
      <c r="A18" s="35" t="inlineStr">
        <is>
          <t>2. Заполняйте лист Закупы каждый раз, когда покупаете рекламу для роста канала.</t>
        </is>
      </c>
    </row>
    <row r="19" ht="15" customHeight="1" s="28">
      <c r="A19" s="35" t="inlineStr">
        <is>
          <t>3. Заполняйте лист Продажи_рекламы каждый раз, когда бронируете рекламу в своём канале.</t>
        </is>
      </c>
    </row>
    <row r="20" ht="15" customHeight="1" s="28">
      <c r="A20" s="35" t="inlineStr">
        <is>
          <t>4. Этот лист посчитает всё сам — открывайте раз в неделю перед отчётом.</t>
        </is>
      </c>
    </row>
    <row r="23" ht="15" customHeight="1" s="28">
      <c r="A23" s="31" t="inlineStr">
        <is>
          <t>Легенда:</t>
        </is>
      </c>
    </row>
    <row r="24" ht="15" customHeight="1" s="28">
      <c r="A24" s="36" t="inlineStr">
        <is>
          <t>Синий текст — заполняете вы</t>
        </is>
      </c>
    </row>
    <row r="25" ht="15" customHeight="1" s="28">
      <c r="A25" s="37" t="inlineStr">
        <is>
          <t>Чёрный текст — формула, не редактировать</t>
        </is>
      </c>
    </row>
    <row r="26" ht="15" customHeight="1" s="28">
      <c r="A26" s="38" t="inlineStr">
        <is>
          <t>Голубая заливка строки — пример для формата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7" min="1" max="1"/>
    <col width="13" customWidth="1" style="27" min="2" max="2"/>
    <col width="15" customWidth="1" style="27" min="3" max="3"/>
    <col width="18" customWidth="1" style="27" min="4" max="4"/>
    <col width="20" customWidth="1" style="27" min="5" max="5"/>
    <col width="10" customWidth="1" style="27" min="6" max="6"/>
    <col width="30" customWidth="1" style="27" min="7" max="7"/>
  </cols>
  <sheetData>
    <row r="1" ht="17.35" customHeight="1" s="28">
      <c r="A1" s="29" t="inlineStr">
        <is>
          <t>Метрики канала</t>
        </is>
      </c>
    </row>
    <row r="2" ht="15" customHeight="1" s="28">
      <c r="A2" s="30" t="inlineStr">
        <is>
          <t>Заполняйте раз в день (вручную или через digest_bot: python cli.py collect-metrics)</t>
        </is>
      </c>
    </row>
    <row r="4" ht="26.85" customHeight="1" s="28">
      <c r="A4" s="39" t="inlineStr">
        <is>
          <t>Дата</t>
        </is>
      </c>
      <c r="B4" s="39" t="inlineStr">
        <is>
          <t>Подписчики</t>
        </is>
      </c>
      <c r="C4" s="39" t="inlineStr">
        <is>
          <t>Прирост за день</t>
        </is>
      </c>
      <c r="D4" s="39" t="inlineStr">
        <is>
          <t>Постов опубликовано</t>
        </is>
      </c>
      <c r="E4" s="39" t="inlineStr">
        <is>
          <t>Ср. охват поста (24ч)</t>
        </is>
      </c>
      <c r="F4" s="39" t="inlineStr">
        <is>
          <t>ERR, %</t>
        </is>
      </c>
      <c r="G4" s="39" t="inlineStr">
        <is>
          <t>Заметки</t>
        </is>
      </c>
    </row>
    <row r="5" ht="15" customHeight="1" s="28">
      <c r="A5" s="40" t="n">
        <v>46285</v>
      </c>
      <c r="B5" s="41" t="n">
        <v>1000</v>
      </c>
      <c r="C5" s="42" t="n"/>
      <c r="D5" s="43" t="n">
        <v>1</v>
      </c>
      <c r="E5" s="42" t="n">
        <v>320</v>
      </c>
      <c r="F5" s="44">
        <f>IFERROR(E5/B5,0)</f>
        <v/>
      </c>
      <c r="G5" s="43" t="inlineStr">
        <is>
          <t>пример — можно удалить</t>
        </is>
      </c>
    </row>
    <row r="6" ht="15" customHeight="1" s="28">
      <c r="A6" s="40" t="n">
        <v>46286</v>
      </c>
      <c r="B6" s="41" t="n">
        <v>1012</v>
      </c>
      <c r="C6" s="42">
        <f>B6-B5</f>
        <v/>
      </c>
      <c r="D6" s="43" t="n">
        <v>2</v>
      </c>
      <c r="E6" s="42" t="n">
        <v>340</v>
      </c>
      <c r="F6" s="44">
        <f>IFERROR(E6/B6,0)</f>
        <v/>
      </c>
      <c r="G6" s="43" t="n"/>
    </row>
    <row r="7" ht="15" customHeight="1" s="28">
      <c r="A7" s="45" t="n">
        <v>46286</v>
      </c>
      <c r="B7" s="46" t="n">
        <v>2</v>
      </c>
      <c r="C7" s="47">
        <f>IF(B7="","",IFERROR(B7-B6,""))</f>
        <v/>
      </c>
      <c r="D7" s="48" t="n">
        <v>1</v>
      </c>
      <c r="E7" s="49" t="n"/>
      <c r="F7" s="50">
        <f>IFERROR(E7/B7,"")</f>
        <v/>
      </c>
    </row>
    <row r="8" ht="15" customHeight="1" s="28">
      <c r="A8" s="51" t="n"/>
      <c r="B8" s="49" t="n"/>
      <c r="C8" s="47">
        <f>IF(B8="","",IFERROR(B8-B7,""))</f>
        <v/>
      </c>
      <c r="E8" s="49" t="n"/>
      <c r="F8" s="50">
        <f>IFERROR(E8/B8,"")</f>
        <v/>
      </c>
    </row>
    <row r="9" ht="15" customHeight="1" s="28">
      <c r="A9" s="51" t="n"/>
      <c r="B9" s="49" t="n"/>
      <c r="C9" s="47">
        <f>IF(B9="","",IFERROR(B9-B8,""))</f>
        <v/>
      </c>
      <c r="E9" s="49" t="n"/>
      <c r="F9" s="50">
        <f>IFERROR(E9/B9,"")</f>
        <v/>
      </c>
    </row>
    <row r="10" ht="15" customHeight="1" s="28">
      <c r="A10" s="51" t="n"/>
      <c r="B10" s="49" t="n"/>
      <c r="C10" s="47">
        <f>IF(B10="","",IFERROR(B10-B9,""))</f>
        <v/>
      </c>
      <c r="E10" s="49" t="n"/>
      <c r="F10" s="50">
        <f>IFERROR(E10/B10,"")</f>
        <v/>
      </c>
    </row>
    <row r="11" ht="15" customHeight="1" s="28">
      <c r="A11" s="51" t="n"/>
      <c r="B11" s="49" t="n"/>
      <c r="C11" s="47">
        <f>IF(B11="","",IFERROR(B11-B10,""))</f>
        <v/>
      </c>
      <c r="E11" s="49" t="n"/>
      <c r="F11" s="50">
        <f>IFERROR(E11/B11,"")</f>
        <v/>
      </c>
    </row>
    <row r="12" ht="15" customHeight="1" s="28">
      <c r="A12" s="51" t="n"/>
      <c r="B12" s="49" t="n"/>
      <c r="C12" s="47">
        <f>IF(B12="","",IFERROR(B12-B11,""))</f>
        <v/>
      </c>
      <c r="E12" s="49" t="n"/>
      <c r="F12" s="50">
        <f>IFERROR(E12/B12,"")</f>
        <v/>
      </c>
    </row>
    <row r="13" ht="15" customHeight="1" s="28">
      <c r="A13" s="51" t="n"/>
      <c r="B13" s="49" t="n"/>
      <c r="C13" s="47">
        <f>IF(B13="","",IFERROR(B13-B12,""))</f>
        <v/>
      </c>
      <c r="E13" s="49" t="n"/>
      <c r="F13" s="50">
        <f>IFERROR(E13/B13,"")</f>
        <v/>
      </c>
    </row>
    <row r="14" ht="15" customHeight="1" s="28">
      <c r="A14" s="51" t="n"/>
      <c r="B14" s="49" t="n"/>
      <c r="C14" s="47">
        <f>IF(B14="","",IFERROR(B14-B13,""))</f>
        <v/>
      </c>
      <c r="E14" s="49" t="n"/>
      <c r="F14" s="50">
        <f>IFERROR(E14/B14,"")</f>
        <v/>
      </c>
    </row>
    <row r="15" ht="15" customHeight="1" s="28">
      <c r="A15" s="51" t="n"/>
      <c r="B15" s="49" t="n"/>
      <c r="C15" s="47">
        <f>IF(B15="","",IFERROR(B15-B14,""))</f>
        <v/>
      </c>
      <c r="E15" s="49" t="n"/>
      <c r="F15" s="50">
        <f>IFERROR(E15/B15,"")</f>
        <v/>
      </c>
    </row>
    <row r="16" ht="15" customHeight="1" s="28">
      <c r="A16" s="51" t="n"/>
      <c r="B16" s="49" t="n"/>
      <c r="C16" s="47">
        <f>IF(B16="","",IFERROR(B16-B15,""))</f>
        <v/>
      </c>
      <c r="E16" s="49" t="n"/>
      <c r="F16" s="50">
        <f>IFERROR(E16/B16,"")</f>
        <v/>
      </c>
    </row>
    <row r="17" ht="15" customHeight="1" s="28">
      <c r="A17" s="51" t="n"/>
      <c r="B17" s="49" t="n"/>
      <c r="C17" s="47">
        <f>IF(B17="","",IFERROR(B17-B16,""))</f>
        <v/>
      </c>
      <c r="E17" s="49" t="n"/>
      <c r="F17" s="50">
        <f>IFERROR(E17/B17,"")</f>
        <v/>
      </c>
    </row>
    <row r="18" ht="15" customHeight="1" s="28">
      <c r="A18" s="51" t="n"/>
      <c r="B18" s="49" t="n"/>
      <c r="C18" s="47">
        <f>IF(B18="","",IFERROR(B18-B17,""))</f>
        <v/>
      </c>
      <c r="E18" s="49" t="n"/>
      <c r="F18" s="50">
        <f>IFERROR(E18/B18,"")</f>
        <v/>
      </c>
    </row>
    <row r="19" ht="15" customHeight="1" s="28">
      <c r="A19" s="51" t="n"/>
      <c r="B19" s="49" t="n"/>
      <c r="C19" s="47">
        <f>IF(B19="","",IFERROR(B19-B18,""))</f>
        <v/>
      </c>
      <c r="E19" s="49" t="n"/>
      <c r="F19" s="50">
        <f>IFERROR(E19/B19,"")</f>
        <v/>
      </c>
    </row>
    <row r="20" ht="15" customHeight="1" s="28">
      <c r="A20" s="51" t="n"/>
      <c r="B20" s="49" t="n"/>
      <c r="C20" s="47">
        <f>IF(B20="","",IFERROR(B20-B19,""))</f>
        <v/>
      </c>
      <c r="E20" s="49" t="n"/>
      <c r="F20" s="50">
        <f>IFERROR(E20/B20,"")</f>
        <v/>
      </c>
    </row>
    <row r="21" ht="15" customHeight="1" s="28">
      <c r="A21" s="51" t="n"/>
      <c r="B21" s="49" t="n"/>
      <c r="C21" s="47">
        <f>IF(B21="","",IFERROR(B21-B20,""))</f>
        <v/>
      </c>
      <c r="E21" s="49" t="n"/>
      <c r="F21" s="50">
        <f>IFERROR(E21/B21,"")</f>
        <v/>
      </c>
    </row>
    <row r="22" ht="15" customHeight="1" s="28">
      <c r="A22" s="51" t="n"/>
      <c r="B22" s="49" t="n"/>
      <c r="C22" s="47">
        <f>IF(B22="","",IFERROR(B22-B21,""))</f>
        <v/>
      </c>
      <c r="E22" s="49" t="n"/>
      <c r="F22" s="50">
        <f>IFERROR(E22/B22,"")</f>
        <v/>
      </c>
    </row>
    <row r="23" ht="15" customHeight="1" s="28">
      <c r="A23" s="51" t="n"/>
      <c r="B23" s="49" t="n"/>
      <c r="C23" s="47">
        <f>IF(B23="","",IFERROR(B23-B22,""))</f>
        <v/>
      </c>
      <c r="E23" s="49" t="n"/>
      <c r="F23" s="50">
        <f>IFERROR(E23/B23,"")</f>
        <v/>
      </c>
    </row>
    <row r="24" ht="15" customHeight="1" s="28">
      <c r="A24" s="51" t="n"/>
      <c r="B24" s="49" t="n"/>
      <c r="C24" s="47">
        <f>IF(B24="","",IFERROR(B24-B23,""))</f>
        <v/>
      </c>
      <c r="E24" s="49" t="n"/>
      <c r="F24" s="50">
        <f>IFERROR(E24/B24,"")</f>
        <v/>
      </c>
    </row>
    <row r="25" ht="15" customHeight="1" s="28">
      <c r="A25" s="51" t="n"/>
      <c r="B25" s="49" t="n"/>
      <c r="C25" s="47">
        <f>IF(B25="","",IFERROR(B25-B24,""))</f>
        <v/>
      </c>
      <c r="E25" s="49" t="n"/>
      <c r="F25" s="50">
        <f>IFERROR(E25/B25,"")</f>
        <v/>
      </c>
    </row>
    <row r="26" ht="15" customHeight="1" s="28">
      <c r="A26" s="51" t="n"/>
      <c r="B26" s="49" t="n"/>
      <c r="C26" s="47">
        <f>IF(B26="","",IFERROR(B26-B25,""))</f>
        <v/>
      </c>
      <c r="E26" s="49" t="n"/>
      <c r="F26" s="50">
        <f>IFERROR(E26/B26,"")</f>
        <v/>
      </c>
    </row>
    <row r="27" ht="15" customHeight="1" s="28">
      <c r="A27" s="51" t="n"/>
      <c r="B27" s="49" t="n"/>
      <c r="C27" s="47">
        <f>IF(B27="","",IFERROR(B27-B26,""))</f>
        <v/>
      </c>
      <c r="E27" s="49" t="n"/>
      <c r="F27" s="50">
        <f>IFERROR(E27/B27,"")</f>
        <v/>
      </c>
    </row>
    <row r="28" ht="15" customHeight="1" s="28">
      <c r="A28" s="51" t="n"/>
      <c r="B28" s="49" t="n"/>
      <c r="C28" s="47">
        <f>IF(B28="","",IFERROR(B28-B27,""))</f>
        <v/>
      </c>
      <c r="E28" s="49" t="n"/>
      <c r="F28" s="50">
        <f>IFERROR(E28/B28,"")</f>
        <v/>
      </c>
    </row>
    <row r="29" ht="15" customHeight="1" s="28">
      <c r="A29" s="51" t="n"/>
      <c r="B29" s="49" t="n"/>
      <c r="C29" s="47">
        <f>IF(B29="","",IFERROR(B29-B28,""))</f>
        <v/>
      </c>
      <c r="E29" s="49" t="n"/>
      <c r="F29" s="50">
        <f>IFERROR(E29/B29,"")</f>
        <v/>
      </c>
    </row>
    <row r="30" ht="15" customHeight="1" s="28">
      <c r="A30" s="51" t="n"/>
      <c r="B30" s="49" t="n"/>
      <c r="C30" s="47">
        <f>IF(B30="","",IFERROR(B30-B29,""))</f>
        <v/>
      </c>
      <c r="E30" s="49" t="n"/>
      <c r="F30" s="50">
        <f>IFERROR(E30/B30,"")</f>
        <v/>
      </c>
    </row>
    <row r="31" ht="15" customHeight="1" s="28">
      <c r="A31" s="51" t="n"/>
      <c r="B31" s="49" t="n"/>
      <c r="C31" s="47">
        <f>IF(B31="","",IFERROR(B31-B30,""))</f>
        <v/>
      </c>
      <c r="E31" s="49" t="n"/>
      <c r="F31" s="50">
        <f>IFERROR(E31/B31,"")</f>
        <v/>
      </c>
    </row>
    <row r="32" ht="15" customHeight="1" s="28">
      <c r="A32" s="51" t="n"/>
      <c r="B32" s="49" t="n"/>
      <c r="C32" s="47">
        <f>IF(B32="","",IFERROR(B32-B31,""))</f>
        <v/>
      </c>
      <c r="E32" s="49" t="n"/>
      <c r="F32" s="50">
        <f>IFERROR(E32/B32,"")</f>
        <v/>
      </c>
    </row>
    <row r="33" ht="15" customHeight="1" s="28">
      <c r="A33" s="51" t="n"/>
      <c r="B33" s="49" t="n"/>
      <c r="C33" s="47">
        <f>IF(B33="","",IFERROR(B33-B32,""))</f>
        <v/>
      </c>
      <c r="E33" s="49" t="n"/>
      <c r="F33" s="50">
        <f>IFERROR(E33/B33,"")</f>
        <v/>
      </c>
    </row>
    <row r="34" ht="15" customHeight="1" s="28">
      <c r="A34" s="51" t="n"/>
      <c r="B34" s="49" t="n"/>
      <c r="C34" s="47">
        <f>IF(B34="","",IFERROR(B34-B33,""))</f>
        <v/>
      </c>
      <c r="E34" s="49" t="n"/>
      <c r="F34" s="50">
        <f>IFERROR(E34/B34,"")</f>
        <v/>
      </c>
    </row>
    <row r="35" ht="15" customHeight="1" s="28">
      <c r="A35" s="51" t="n"/>
      <c r="B35" s="49" t="n"/>
      <c r="C35" s="47">
        <f>IF(B35="","",IFERROR(B35-B34,""))</f>
        <v/>
      </c>
      <c r="E35" s="49" t="n"/>
      <c r="F35" s="50">
        <f>IFERROR(E35/B35,"")</f>
        <v/>
      </c>
    </row>
    <row r="36" ht="15" customHeight="1" s="28">
      <c r="A36" s="51" t="n"/>
      <c r="B36" s="49" t="n"/>
      <c r="C36" s="47">
        <f>IF(B36="","",IFERROR(B36-B35,""))</f>
        <v/>
      </c>
      <c r="E36" s="49" t="n"/>
      <c r="F36" s="50">
        <f>IFERROR(E36/B36,"")</f>
        <v/>
      </c>
    </row>
    <row r="37" ht="15" customHeight="1" s="28">
      <c r="A37" s="51" t="n"/>
      <c r="B37" s="49" t="n"/>
      <c r="C37" s="47">
        <f>IF(B37="","",IFERROR(B37-B36,""))</f>
        <v/>
      </c>
      <c r="E37" s="49" t="n"/>
      <c r="F37" s="50">
        <f>IFERROR(E37/B37,"")</f>
        <v/>
      </c>
    </row>
    <row r="38" ht="15" customHeight="1" s="28">
      <c r="A38" s="51" t="n"/>
      <c r="B38" s="49" t="n"/>
      <c r="C38" s="47">
        <f>IF(B38="","",IFERROR(B38-B37,""))</f>
        <v/>
      </c>
      <c r="E38" s="49" t="n"/>
      <c r="F38" s="50">
        <f>IFERROR(E38/B38,"")</f>
        <v/>
      </c>
    </row>
    <row r="39" ht="15" customHeight="1" s="28">
      <c r="A39" s="51" t="n"/>
      <c r="B39" s="49" t="n"/>
      <c r="C39" s="47">
        <f>IF(B39="","",IFERROR(B39-B38,""))</f>
        <v/>
      </c>
      <c r="E39" s="49" t="n"/>
      <c r="F39" s="50">
        <f>IFERROR(E39/B39,"")</f>
        <v/>
      </c>
    </row>
    <row r="40" ht="15" customHeight="1" s="28">
      <c r="A40" s="51" t="n"/>
      <c r="B40" s="49" t="n"/>
      <c r="C40" s="47">
        <f>IF(B40="","",IFERROR(B40-B39,""))</f>
        <v/>
      </c>
      <c r="E40" s="49" t="n"/>
      <c r="F40" s="50">
        <f>IFERROR(E40/B40,"")</f>
        <v/>
      </c>
    </row>
    <row r="41" ht="15" customHeight="1" s="28">
      <c r="A41" s="51" t="n"/>
      <c r="B41" s="49" t="n"/>
      <c r="C41" s="47">
        <f>IF(B41="","",IFERROR(B41-B40,""))</f>
        <v/>
      </c>
      <c r="E41" s="49" t="n"/>
      <c r="F41" s="50">
        <f>IFERROR(E41/B41,"")</f>
        <v/>
      </c>
    </row>
    <row r="42" ht="15" customHeight="1" s="28">
      <c r="A42" s="51" t="n"/>
      <c r="B42" s="49" t="n"/>
      <c r="C42" s="47">
        <f>IF(B42="","",IFERROR(B42-B41,""))</f>
        <v/>
      </c>
      <c r="E42" s="49" t="n"/>
      <c r="F42" s="50">
        <f>IFERROR(E42/B42,"")</f>
        <v/>
      </c>
    </row>
    <row r="43" ht="15" customHeight="1" s="28">
      <c r="A43" s="51" t="n"/>
      <c r="B43" s="49" t="n"/>
      <c r="C43" s="47">
        <f>IF(B43="","",IFERROR(B43-B42,""))</f>
        <v/>
      </c>
      <c r="E43" s="49" t="n"/>
      <c r="F43" s="50">
        <f>IFERROR(E43/B43,"")</f>
        <v/>
      </c>
    </row>
    <row r="44" ht="15" customHeight="1" s="28">
      <c r="A44" s="51" t="n"/>
      <c r="B44" s="49" t="n"/>
      <c r="C44" s="47">
        <f>IF(B44="","",IFERROR(B44-B43,""))</f>
        <v/>
      </c>
      <c r="E44" s="49" t="n"/>
      <c r="F44" s="50">
        <f>IFERROR(E44/B44,"")</f>
        <v/>
      </c>
    </row>
    <row r="45" ht="15" customHeight="1" s="28">
      <c r="A45" s="51" t="n"/>
      <c r="B45" s="49" t="n"/>
      <c r="C45" s="47">
        <f>IF(B45="","",IFERROR(B45-B44,""))</f>
        <v/>
      </c>
      <c r="E45" s="49" t="n"/>
      <c r="F45" s="50">
        <f>IFERROR(E45/B45,"")</f>
        <v/>
      </c>
    </row>
    <row r="46" ht="15" customHeight="1" s="28">
      <c r="A46" s="51" t="n"/>
      <c r="B46" s="49" t="n"/>
      <c r="C46" s="47">
        <f>IF(B46="","",IFERROR(B46-B45,""))</f>
        <v/>
      </c>
      <c r="E46" s="49" t="n"/>
      <c r="F46" s="50">
        <f>IFERROR(E46/B46,"")</f>
        <v/>
      </c>
    </row>
    <row r="47" ht="15" customHeight="1" s="28">
      <c r="A47" s="51" t="n"/>
      <c r="B47" s="49" t="n"/>
      <c r="C47" s="47">
        <f>IF(B47="","",IFERROR(B47-B46,""))</f>
        <v/>
      </c>
      <c r="E47" s="49" t="n"/>
      <c r="F47" s="50">
        <f>IFERROR(E47/B47,"")</f>
        <v/>
      </c>
    </row>
    <row r="48" ht="15" customHeight="1" s="28">
      <c r="A48" s="51" t="n"/>
      <c r="B48" s="49" t="n"/>
      <c r="C48" s="47">
        <f>IF(B48="","",IFERROR(B48-B47,""))</f>
        <v/>
      </c>
      <c r="E48" s="49" t="n"/>
      <c r="F48" s="50">
        <f>IFERROR(E48/B48,"")</f>
        <v/>
      </c>
    </row>
    <row r="49" ht="15" customHeight="1" s="28">
      <c r="A49" s="51" t="n"/>
      <c r="B49" s="49" t="n"/>
      <c r="C49" s="47">
        <f>IF(B49="","",IFERROR(B49-B48,""))</f>
        <v/>
      </c>
      <c r="E49" s="49" t="n"/>
      <c r="F49" s="50">
        <f>IFERROR(E49/B49,"")</f>
        <v/>
      </c>
    </row>
    <row r="50" ht="15" customHeight="1" s="28">
      <c r="A50" s="51" t="n"/>
      <c r="B50" s="49" t="n"/>
      <c r="C50" s="47">
        <f>IF(B50="","",IFERROR(B50-B49,""))</f>
        <v/>
      </c>
      <c r="E50" s="49" t="n"/>
      <c r="F50" s="50">
        <f>IFERROR(E50/B50,"")</f>
        <v/>
      </c>
    </row>
    <row r="51" ht="15" customHeight="1" s="28">
      <c r="A51" s="51" t="n"/>
      <c r="B51" s="49" t="n"/>
      <c r="C51" s="47">
        <f>IF(B51="","",IFERROR(B51-B50,""))</f>
        <v/>
      </c>
      <c r="E51" s="49" t="n"/>
      <c r="F51" s="50">
        <f>IFERROR(E51/B51,"")</f>
        <v/>
      </c>
    </row>
    <row r="52" ht="15" customHeight="1" s="28">
      <c r="A52" s="51" t="n"/>
      <c r="B52" s="49" t="n"/>
      <c r="C52" s="47">
        <f>IF(B52="","",IFERROR(B52-B51,""))</f>
        <v/>
      </c>
      <c r="E52" s="49" t="n"/>
      <c r="F52" s="50">
        <f>IFERROR(E52/B52,"")</f>
        <v/>
      </c>
    </row>
    <row r="53" ht="15" customHeight="1" s="28">
      <c r="A53" s="51" t="n"/>
      <c r="B53" s="49" t="n"/>
      <c r="C53" s="47">
        <f>IF(B53="","",IFERROR(B53-B52,""))</f>
        <v/>
      </c>
      <c r="E53" s="49" t="n"/>
      <c r="F53" s="50">
        <f>IFERROR(E53/B53,"")</f>
        <v/>
      </c>
    </row>
    <row r="54" ht="15" customHeight="1" s="28">
      <c r="A54" s="51" t="n"/>
      <c r="B54" s="49" t="n"/>
      <c r="C54" s="47">
        <f>IF(B54="","",IFERROR(B54-B53,""))</f>
        <v/>
      </c>
      <c r="E54" s="49" t="n"/>
      <c r="F54" s="50">
        <f>IFERROR(E54/B54,"")</f>
        <v/>
      </c>
    </row>
    <row r="55" ht="15" customHeight="1" s="28">
      <c r="A55" s="51" t="n"/>
      <c r="B55" s="49" t="n"/>
      <c r="C55" s="47">
        <f>IF(B55="","",IFERROR(B55-B54,""))</f>
        <v/>
      </c>
      <c r="E55" s="49" t="n"/>
      <c r="F55" s="50">
        <f>IFERROR(E55/B55,"")</f>
        <v/>
      </c>
    </row>
    <row r="56" ht="15" customHeight="1" s="28">
      <c r="A56" s="51" t="n"/>
      <c r="B56" s="49" t="n"/>
      <c r="C56" s="47">
        <f>IF(B56="","",IFERROR(B56-B55,""))</f>
        <v/>
      </c>
      <c r="E56" s="49" t="n"/>
      <c r="F56" s="50">
        <f>IFERROR(E56/B56,"")</f>
        <v/>
      </c>
    </row>
    <row r="57" ht="15" customHeight="1" s="28">
      <c r="A57" s="51" t="n"/>
      <c r="B57" s="49" t="n"/>
      <c r="C57" s="47">
        <f>IF(B57="","",IFERROR(B57-B56,""))</f>
        <v/>
      </c>
      <c r="E57" s="49" t="n"/>
      <c r="F57" s="50">
        <f>IFERROR(E57/B57,"")</f>
        <v/>
      </c>
    </row>
    <row r="58" ht="15" customHeight="1" s="28">
      <c r="A58" s="51" t="n"/>
      <c r="B58" s="49" t="n"/>
      <c r="C58" s="47">
        <f>IF(B58="","",IFERROR(B58-B57,""))</f>
        <v/>
      </c>
      <c r="E58" s="49" t="n"/>
      <c r="F58" s="50">
        <f>IFERROR(E58/B58,"")</f>
        <v/>
      </c>
    </row>
    <row r="59" ht="15" customHeight="1" s="28">
      <c r="A59" s="51" t="n"/>
      <c r="B59" s="49" t="n"/>
      <c r="C59" s="47">
        <f>IF(B59="","",IFERROR(B59-B58,""))</f>
        <v/>
      </c>
      <c r="E59" s="49" t="n"/>
      <c r="F59" s="50">
        <f>IFERROR(E59/B59,"")</f>
        <v/>
      </c>
    </row>
    <row r="60" ht="15" customHeight="1" s="28">
      <c r="A60" s="51" t="n"/>
      <c r="B60" s="49" t="n"/>
      <c r="C60" s="47">
        <f>IF(B60="","",IFERROR(B60-B59,""))</f>
        <v/>
      </c>
      <c r="E60" s="49" t="n"/>
      <c r="F60" s="50">
        <f>IFERROR(E60/B60,"")</f>
        <v/>
      </c>
    </row>
    <row r="61" ht="15" customHeight="1" s="28">
      <c r="A61" s="51" t="n"/>
      <c r="B61" s="49" t="n"/>
      <c r="C61" s="47">
        <f>IF(B61="","",IFERROR(B61-B60,""))</f>
        <v/>
      </c>
      <c r="E61" s="49" t="n"/>
      <c r="F61" s="50">
        <f>IFERROR(E61/B61,"")</f>
        <v/>
      </c>
    </row>
    <row r="62" ht="15" customHeight="1" s="28">
      <c r="A62" s="51" t="n"/>
      <c r="B62" s="49" t="n"/>
      <c r="C62" s="47">
        <f>IF(B62="","",IFERROR(B62-B61,""))</f>
        <v/>
      </c>
      <c r="E62" s="49" t="n"/>
      <c r="F62" s="50">
        <f>IFERROR(E62/B62,"")</f>
        <v/>
      </c>
    </row>
    <row r="63" ht="15" customHeight="1" s="28">
      <c r="A63" s="51" t="n"/>
      <c r="B63" s="49" t="n"/>
      <c r="C63" s="47">
        <f>IF(B63="","",IFERROR(B63-B62,""))</f>
        <v/>
      </c>
      <c r="E63" s="49" t="n"/>
      <c r="F63" s="50">
        <f>IFERROR(E63/B63,"")</f>
        <v/>
      </c>
    </row>
    <row r="64" ht="15" customHeight="1" s="28">
      <c r="A64" s="51" t="n"/>
      <c r="B64" s="49" t="n"/>
      <c r="C64" s="47">
        <f>IF(B64="","",IFERROR(B64-B63,""))</f>
        <v/>
      </c>
      <c r="E64" s="49" t="n"/>
      <c r="F64" s="50">
        <f>IFERROR(E64/B64,"")</f>
        <v/>
      </c>
    </row>
    <row r="65" ht="15" customHeight="1" s="28">
      <c r="A65" s="51" t="n"/>
      <c r="B65" s="49" t="n"/>
      <c r="C65" s="47">
        <f>IF(B65="","",IFERROR(B65-B64,""))</f>
        <v/>
      </c>
      <c r="E65" s="49" t="n"/>
      <c r="F65" s="50">
        <f>IFERROR(E65/B65,"")</f>
        <v/>
      </c>
    </row>
    <row r="66" ht="15" customHeight="1" s="28">
      <c r="A66" s="51" t="n"/>
      <c r="B66" s="49" t="n"/>
      <c r="C66" s="47">
        <f>IF(B66="","",IFERROR(B66-B65,""))</f>
        <v/>
      </c>
      <c r="E66" s="49" t="n"/>
      <c r="F66" s="50">
        <f>IFERROR(E66/B66,"")</f>
        <v/>
      </c>
    </row>
    <row r="67" ht="15" customHeight="1" s="28">
      <c r="A67" s="51" t="n"/>
      <c r="B67" s="49" t="n"/>
      <c r="C67" s="47">
        <f>IF(B67="","",IFERROR(B67-B66,""))</f>
        <v/>
      </c>
      <c r="E67" s="49" t="n"/>
      <c r="F67" s="50">
        <f>IFERROR(E67/B67,"")</f>
        <v/>
      </c>
    </row>
    <row r="68" ht="15" customHeight="1" s="28">
      <c r="A68" s="51" t="n"/>
      <c r="B68" s="49" t="n"/>
      <c r="C68" s="47">
        <f>IF(B68="","",IFERROR(B68-B67,""))</f>
        <v/>
      </c>
      <c r="E68" s="49" t="n"/>
      <c r="F68" s="50">
        <f>IFERROR(E68/B68,"")</f>
        <v/>
      </c>
    </row>
    <row r="69" ht="15" customHeight="1" s="28">
      <c r="A69" s="51" t="n"/>
      <c r="B69" s="49" t="n"/>
      <c r="C69" s="47">
        <f>IF(B69="","",IFERROR(B69-B68,""))</f>
        <v/>
      </c>
      <c r="E69" s="49" t="n"/>
      <c r="F69" s="50">
        <f>IFERROR(E69/B69,"")</f>
        <v/>
      </c>
    </row>
    <row r="70" ht="15" customHeight="1" s="28">
      <c r="A70" s="51" t="n"/>
      <c r="B70" s="49" t="n"/>
      <c r="C70" s="47">
        <f>IF(B70="","",IFERROR(B70-B69,""))</f>
        <v/>
      </c>
      <c r="E70" s="49" t="n"/>
      <c r="F70" s="50">
        <f>IFERROR(E70/B70,"")</f>
        <v/>
      </c>
    </row>
    <row r="71" ht="15" customHeight="1" s="28">
      <c r="A71" s="51" t="n"/>
      <c r="B71" s="49" t="n"/>
      <c r="C71" s="47">
        <f>IF(B71="","",IFERROR(B71-B70,""))</f>
        <v/>
      </c>
      <c r="E71" s="49" t="n"/>
      <c r="F71" s="50">
        <f>IFERROR(E71/B71,"")</f>
        <v/>
      </c>
    </row>
    <row r="72" ht="15" customHeight="1" s="28">
      <c r="A72" s="51" t="n"/>
      <c r="B72" s="49" t="n"/>
      <c r="C72" s="47">
        <f>IF(B72="","",IFERROR(B72-B71,""))</f>
        <v/>
      </c>
      <c r="E72" s="49" t="n"/>
      <c r="F72" s="50">
        <f>IFERROR(E72/B72,"")</f>
        <v/>
      </c>
    </row>
    <row r="73" ht="15" customHeight="1" s="28">
      <c r="A73" s="51" t="n"/>
      <c r="B73" s="49" t="n"/>
      <c r="C73" s="47">
        <f>IF(B73="","",IFERROR(B73-B72,""))</f>
        <v/>
      </c>
      <c r="E73" s="49" t="n"/>
      <c r="F73" s="50">
        <f>IFERROR(E73/B73,"")</f>
        <v/>
      </c>
    </row>
    <row r="74" ht="15" customHeight="1" s="28">
      <c r="A74" s="51" t="n"/>
      <c r="B74" s="49" t="n"/>
      <c r="C74" s="47">
        <f>IF(B74="","",IFERROR(B74-B73,""))</f>
        <v/>
      </c>
      <c r="E74" s="49" t="n"/>
      <c r="F74" s="50">
        <f>IFERROR(E74/B74,"")</f>
        <v/>
      </c>
    </row>
    <row r="75" ht="15" customHeight="1" s="28">
      <c r="A75" s="51" t="n"/>
      <c r="B75" s="49" t="n"/>
      <c r="C75" s="47">
        <f>IF(B75="","",IFERROR(B75-B74,""))</f>
        <v/>
      </c>
      <c r="E75" s="49" t="n"/>
      <c r="F75" s="50">
        <f>IFERROR(E75/B75,"")</f>
        <v/>
      </c>
    </row>
    <row r="76" ht="15" customHeight="1" s="28">
      <c r="A76" s="51" t="n"/>
      <c r="B76" s="49" t="n"/>
      <c r="C76" s="47">
        <f>IF(B76="","",IFERROR(B76-B75,""))</f>
        <v/>
      </c>
      <c r="E76" s="49" t="n"/>
      <c r="F76" s="50">
        <f>IFERROR(E76/B76,"")</f>
        <v/>
      </c>
    </row>
    <row r="77" ht="15" customHeight="1" s="28">
      <c r="A77" s="51" t="n"/>
      <c r="B77" s="49" t="n"/>
      <c r="C77" s="47">
        <f>IF(B77="","",IFERROR(B77-B76,""))</f>
        <v/>
      </c>
      <c r="E77" s="49" t="n"/>
      <c r="F77" s="50">
        <f>IFERROR(E77/B77,"")</f>
        <v/>
      </c>
    </row>
    <row r="78" ht="15" customHeight="1" s="28">
      <c r="A78" s="51" t="n"/>
      <c r="B78" s="49" t="n"/>
      <c r="C78" s="47">
        <f>IF(B78="","",IFERROR(B78-B77,""))</f>
        <v/>
      </c>
      <c r="E78" s="49" t="n"/>
      <c r="F78" s="50">
        <f>IFERROR(E78/B78,"")</f>
        <v/>
      </c>
    </row>
    <row r="79" ht="15" customHeight="1" s="28">
      <c r="A79" s="51" t="n"/>
      <c r="B79" s="49" t="n"/>
      <c r="C79" s="47">
        <f>IF(B79="","",IFERROR(B79-B78,""))</f>
        <v/>
      </c>
      <c r="E79" s="49" t="n"/>
      <c r="F79" s="50">
        <f>IFERROR(E79/B79,"")</f>
        <v/>
      </c>
    </row>
    <row r="80" ht="15" customHeight="1" s="28">
      <c r="A80" s="51" t="n"/>
      <c r="B80" s="49" t="n"/>
      <c r="C80" s="47">
        <f>IF(B80="","",IFERROR(B80-B79,""))</f>
        <v/>
      </c>
      <c r="E80" s="49" t="n"/>
      <c r="F80" s="50">
        <f>IFERROR(E80/B80,"")</f>
        <v/>
      </c>
    </row>
    <row r="81" ht="15" customHeight="1" s="28">
      <c r="A81" s="51" t="n"/>
      <c r="B81" s="49" t="n"/>
      <c r="C81" s="47">
        <f>IF(B81="","",IFERROR(B81-B80,""))</f>
        <v/>
      </c>
      <c r="E81" s="49" t="n"/>
      <c r="F81" s="50">
        <f>IFERROR(E81/B81,"")</f>
        <v/>
      </c>
    </row>
    <row r="82" ht="15" customHeight="1" s="28">
      <c r="A82" s="51" t="n"/>
      <c r="B82" s="49" t="n"/>
      <c r="C82" s="47">
        <f>IF(B82="","",IFERROR(B82-B81,""))</f>
        <v/>
      </c>
      <c r="E82" s="49" t="n"/>
      <c r="F82" s="50">
        <f>IFERROR(E82/B82,"")</f>
        <v/>
      </c>
    </row>
    <row r="83" ht="15" customHeight="1" s="28">
      <c r="A83" s="51" t="n"/>
      <c r="B83" s="49" t="n"/>
      <c r="C83" s="47">
        <f>IF(B83="","",IFERROR(B83-B82,""))</f>
        <v/>
      </c>
      <c r="E83" s="49" t="n"/>
      <c r="F83" s="50">
        <f>IFERROR(E83/B83,"")</f>
        <v/>
      </c>
    </row>
    <row r="84" ht="15" customHeight="1" s="28">
      <c r="A84" s="51" t="n"/>
      <c r="B84" s="49" t="n"/>
      <c r="C84" s="47">
        <f>IF(B84="","",IFERROR(B84-B83,""))</f>
        <v/>
      </c>
      <c r="E84" s="49" t="n"/>
      <c r="F84" s="50">
        <f>IFERROR(E84/B84,"")</f>
        <v/>
      </c>
    </row>
    <row r="85" ht="15" customHeight="1" s="28">
      <c r="A85" s="51" t="n"/>
      <c r="B85" s="49" t="n"/>
      <c r="C85" s="47">
        <f>IF(B85="","",IFERROR(B85-B84,""))</f>
        <v/>
      </c>
      <c r="E85" s="49" t="n"/>
      <c r="F85" s="50">
        <f>IFERROR(E85/B85,"")</f>
        <v/>
      </c>
    </row>
    <row r="86" ht="15" customHeight="1" s="28">
      <c r="A86" s="51" t="n"/>
      <c r="B86" s="49" t="n"/>
      <c r="C86" s="47">
        <f>IF(B86="","",IFERROR(B86-B85,""))</f>
        <v/>
      </c>
      <c r="E86" s="49" t="n"/>
      <c r="F86" s="50">
        <f>IFERROR(E86/B86,"")</f>
        <v/>
      </c>
    </row>
    <row r="87" ht="15" customHeight="1" s="28">
      <c r="A87" s="51" t="n"/>
      <c r="B87" s="49" t="n"/>
      <c r="C87" s="47">
        <f>IF(B87="","",IFERROR(B87-B86,""))</f>
        <v/>
      </c>
      <c r="E87" s="49" t="n"/>
      <c r="F87" s="50">
        <f>IFERROR(E87/B87,"")</f>
        <v/>
      </c>
    </row>
    <row r="88" ht="15" customHeight="1" s="28">
      <c r="A88" s="51" t="n"/>
      <c r="B88" s="49" t="n"/>
      <c r="C88" s="47">
        <f>IF(B88="","",IFERROR(B88-B87,""))</f>
        <v/>
      </c>
      <c r="E88" s="49" t="n"/>
      <c r="F88" s="50">
        <f>IFERROR(E88/B88,"")</f>
        <v/>
      </c>
    </row>
    <row r="89" ht="15" customHeight="1" s="28">
      <c r="A89" s="51" t="n"/>
      <c r="B89" s="49" t="n"/>
      <c r="C89" s="47">
        <f>IF(B89="","",IFERROR(B89-B88,""))</f>
        <v/>
      </c>
      <c r="E89" s="49" t="n"/>
      <c r="F89" s="50">
        <f>IFERROR(E89/B89,"")</f>
        <v/>
      </c>
    </row>
    <row r="90" ht="15" customHeight="1" s="28">
      <c r="A90" s="51" t="n"/>
      <c r="B90" s="49" t="n"/>
      <c r="C90" s="47">
        <f>IF(B90="","",IFERROR(B90-B89,""))</f>
        <v/>
      </c>
      <c r="E90" s="49" t="n"/>
      <c r="F90" s="50">
        <f>IFERROR(E90/B90,"")</f>
        <v/>
      </c>
    </row>
    <row r="91" ht="15" customHeight="1" s="28">
      <c r="A91" s="51" t="n"/>
      <c r="B91" s="49" t="n"/>
      <c r="C91" s="47">
        <f>IF(B91="","",IFERROR(B91-B90,""))</f>
        <v/>
      </c>
      <c r="E91" s="49" t="n"/>
      <c r="F91" s="50">
        <f>IFERROR(E91/B91,"")</f>
        <v/>
      </c>
    </row>
    <row r="92" ht="15" customHeight="1" s="28">
      <c r="A92" s="51" t="n"/>
      <c r="B92" s="49" t="n"/>
      <c r="C92" s="47">
        <f>IF(B92="","",IFERROR(B92-B91,""))</f>
        <v/>
      </c>
      <c r="E92" s="49" t="n"/>
      <c r="F92" s="50">
        <f>IFERROR(E92/B92,"")</f>
        <v/>
      </c>
    </row>
    <row r="93" ht="15" customHeight="1" s="28">
      <c r="A93" s="51" t="n"/>
      <c r="B93" s="49" t="n"/>
      <c r="C93" s="47">
        <f>IF(B93="","",IFERROR(B93-B92,""))</f>
        <v/>
      </c>
      <c r="E93" s="49" t="n"/>
      <c r="F93" s="50">
        <f>IFERROR(E93/B93,"")</f>
        <v/>
      </c>
    </row>
    <row r="94" ht="15" customHeight="1" s="28">
      <c r="A94" s="51" t="n"/>
      <c r="B94" s="49" t="n"/>
      <c r="C94" s="47">
        <f>IF(B94="","",IFERROR(B94-B93,""))</f>
        <v/>
      </c>
      <c r="E94" s="49" t="n"/>
      <c r="F94" s="50">
        <f>IFERROR(E94/B94,"")</f>
        <v/>
      </c>
    </row>
    <row r="95" ht="15" customHeight="1" s="28">
      <c r="A95" s="51" t="n"/>
      <c r="B95" s="49" t="n"/>
      <c r="C95" s="47">
        <f>IF(B95="","",IFERROR(B95-B94,""))</f>
        <v/>
      </c>
      <c r="E95" s="49" t="n"/>
      <c r="F95" s="50">
        <f>IFERROR(E95/B95,"")</f>
        <v/>
      </c>
    </row>
    <row r="96" ht="15" customHeight="1" s="28">
      <c r="A96" s="51" t="n"/>
      <c r="B96" s="49" t="n"/>
      <c r="C96" s="47">
        <f>IF(B96="","",IFERROR(B96-B95,""))</f>
        <v/>
      </c>
      <c r="E96" s="49" t="n"/>
      <c r="F96" s="50">
        <f>IFERROR(E96/B96,"")</f>
        <v/>
      </c>
    </row>
    <row r="97" ht="15" customHeight="1" s="28">
      <c r="A97" s="51" t="n"/>
      <c r="B97" s="49" t="n"/>
      <c r="C97" s="47">
        <f>IF(B97="","",IFERROR(B97-B96,""))</f>
        <v/>
      </c>
      <c r="E97" s="49" t="n"/>
      <c r="F97" s="50">
        <f>IFERROR(E97/B97,"")</f>
        <v/>
      </c>
    </row>
    <row r="98" ht="15" customHeight="1" s="28">
      <c r="A98" s="51" t="n"/>
      <c r="B98" s="49" t="n"/>
      <c r="C98" s="47">
        <f>IF(B98="","",IFERROR(B98-B97,""))</f>
        <v/>
      </c>
      <c r="E98" s="49" t="n"/>
      <c r="F98" s="50">
        <f>IFERROR(E98/B98,"")</f>
        <v/>
      </c>
    </row>
    <row r="99" ht="15" customHeight="1" s="28">
      <c r="A99" s="51" t="n"/>
      <c r="B99" s="49" t="n"/>
      <c r="C99" s="47">
        <f>IF(B99="","",IFERROR(B99-B98,""))</f>
        <v/>
      </c>
      <c r="E99" s="49" t="n"/>
      <c r="F99" s="50">
        <f>IFERROR(E99/B99,"")</f>
        <v/>
      </c>
    </row>
    <row r="100" ht="15" customHeight="1" s="28">
      <c r="A100" s="51" t="n"/>
      <c r="B100" s="49" t="n"/>
      <c r="C100" s="47">
        <f>IF(B100="","",IFERROR(B100-B99,""))</f>
        <v/>
      </c>
      <c r="E100" s="49" t="n"/>
      <c r="F100" s="50">
        <f>IFERROR(E100/B100,"")</f>
        <v/>
      </c>
    </row>
    <row r="101" ht="15" customHeight="1" s="28">
      <c r="A101" s="51" t="n"/>
      <c r="B101" s="49" t="n"/>
      <c r="C101" s="47">
        <f>IF(B101="","",IFERROR(B101-B100,""))</f>
        <v/>
      </c>
      <c r="E101" s="49" t="n"/>
      <c r="F101" s="50">
        <f>IFERROR(E101/B101,"")</f>
        <v/>
      </c>
    </row>
    <row r="102" ht="15" customHeight="1" s="28">
      <c r="A102" s="51" t="n"/>
      <c r="B102" s="49" t="n"/>
      <c r="C102" s="47">
        <f>IF(B102="","",IFERROR(B102-B101,""))</f>
        <v/>
      </c>
      <c r="E102" s="49" t="n"/>
      <c r="F102" s="50">
        <f>IFERROR(E102/B102,"")</f>
        <v/>
      </c>
    </row>
    <row r="103" ht="15" customHeight="1" s="28">
      <c r="A103" s="51" t="n"/>
      <c r="B103" s="49" t="n"/>
      <c r="C103" s="47">
        <f>IF(B103="","",IFERROR(B103-B102,""))</f>
        <v/>
      </c>
      <c r="E103" s="49" t="n"/>
      <c r="F103" s="50">
        <f>IFERROR(E103/B103,"")</f>
        <v/>
      </c>
    </row>
    <row r="104" ht="15" customHeight="1" s="28">
      <c r="A104" s="51" t="n"/>
      <c r="B104" s="49" t="n"/>
      <c r="C104" s="47">
        <f>IF(B104="","",IFERROR(B104-B103,""))</f>
        <v/>
      </c>
      <c r="E104" s="49" t="n"/>
      <c r="F104" s="50">
        <f>IFERROR(E104/B104,"")</f>
        <v/>
      </c>
    </row>
    <row r="105" ht="15" customHeight="1" s="28">
      <c r="A105" s="51" t="n"/>
      <c r="B105" s="49" t="n"/>
      <c r="C105" s="47">
        <f>IF(B105="","",IFERROR(B105-B104,""))</f>
        <v/>
      </c>
      <c r="E105" s="49" t="n"/>
      <c r="F105" s="50">
        <f>IFERROR(E105/B105,"")</f>
        <v/>
      </c>
    </row>
    <row r="106" ht="15" customHeight="1" s="28">
      <c r="A106" s="51" t="n"/>
      <c r="B106" s="49" t="n"/>
      <c r="C106" s="47">
        <f>IF(B106="","",IFERROR(B106-B105,""))</f>
        <v/>
      </c>
      <c r="E106" s="49" t="n"/>
      <c r="F106" s="50">
        <f>IFERROR(E106/B106,"")</f>
        <v/>
      </c>
    </row>
    <row r="107" ht="15" customHeight="1" s="28">
      <c r="A107" s="51" t="n"/>
      <c r="B107" s="49" t="n"/>
      <c r="C107" s="47">
        <f>IF(B107="","",IFERROR(B107-B106,""))</f>
        <v/>
      </c>
      <c r="E107" s="49" t="n"/>
      <c r="F107" s="50">
        <f>IFERROR(E107/B107,"")</f>
        <v/>
      </c>
    </row>
    <row r="108" ht="15" customHeight="1" s="28">
      <c r="A108" s="51" t="n"/>
      <c r="B108" s="49" t="n"/>
      <c r="C108" s="47">
        <f>IF(B108="","",IFERROR(B108-B107,""))</f>
        <v/>
      </c>
      <c r="E108" s="49" t="n"/>
      <c r="F108" s="50">
        <f>IFERROR(E108/B108,"")</f>
        <v/>
      </c>
    </row>
    <row r="109" ht="15" customHeight="1" s="28">
      <c r="A109" s="51" t="n"/>
      <c r="B109" s="49" t="n"/>
      <c r="C109" s="47">
        <f>IF(B109="","",IFERROR(B109-B108,""))</f>
        <v/>
      </c>
      <c r="E109" s="49" t="n"/>
      <c r="F109" s="50">
        <f>IFERROR(E109/B109,"")</f>
        <v/>
      </c>
    </row>
    <row r="110" ht="15" customHeight="1" s="28">
      <c r="A110" s="51" t="n"/>
      <c r="B110" s="49" t="n"/>
      <c r="C110" s="47">
        <f>IF(B110="","",IFERROR(B110-B109,""))</f>
        <v/>
      </c>
      <c r="E110" s="49" t="n"/>
      <c r="F110" s="50">
        <f>IFERROR(E110/B110,"")</f>
        <v/>
      </c>
    </row>
    <row r="111" ht="15" customHeight="1" s="28">
      <c r="A111" s="51" t="n"/>
      <c r="B111" s="49" t="n"/>
      <c r="C111" s="47">
        <f>IF(B111="","",IFERROR(B111-B110,""))</f>
        <v/>
      </c>
      <c r="E111" s="49" t="n"/>
      <c r="F111" s="50">
        <f>IFERROR(E111/B111,"")</f>
        <v/>
      </c>
    </row>
    <row r="112" ht="15" customHeight="1" s="28">
      <c r="A112" s="51" t="n"/>
      <c r="B112" s="49" t="n"/>
      <c r="C112" s="47">
        <f>IF(B112="","",IFERROR(B112-B111,""))</f>
        <v/>
      </c>
      <c r="E112" s="49" t="n"/>
      <c r="F112" s="50">
        <f>IFERROR(E112/B112,"")</f>
        <v/>
      </c>
    </row>
    <row r="113" ht="15" customHeight="1" s="28">
      <c r="A113" s="51" t="n"/>
      <c r="B113" s="49" t="n"/>
      <c r="C113" s="47">
        <f>IF(B113="","",IFERROR(B113-B112,""))</f>
        <v/>
      </c>
      <c r="E113" s="49" t="n"/>
      <c r="F113" s="50">
        <f>IFERROR(E113/B113,"")</f>
        <v/>
      </c>
    </row>
    <row r="114" ht="15" customHeight="1" s="28">
      <c r="A114" s="51" t="n"/>
      <c r="B114" s="49" t="n"/>
      <c r="C114" s="47">
        <f>IF(B114="","",IFERROR(B114-B113,""))</f>
        <v/>
      </c>
      <c r="E114" s="49" t="n"/>
      <c r="F114" s="50">
        <f>IFERROR(E114/B114,"")</f>
        <v/>
      </c>
    </row>
    <row r="115" ht="15" customHeight="1" s="28">
      <c r="A115" s="51" t="n"/>
      <c r="B115" s="49" t="n"/>
      <c r="C115" s="47">
        <f>IF(B115="","",IFERROR(B115-B114,""))</f>
        <v/>
      </c>
      <c r="E115" s="49" t="n"/>
      <c r="F115" s="50">
        <f>IFERROR(E115/B115,"")</f>
        <v/>
      </c>
    </row>
    <row r="116" ht="15" customHeight="1" s="28">
      <c r="A116" s="51" t="n"/>
      <c r="B116" s="49" t="n"/>
      <c r="C116" s="47">
        <f>IF(B116="","",IFERROR(B116-B115,""))</f>
        <v/>
      </c>
      <c r="E116" s="49" t="n"/>
      <c r="F116" s="50">
        <f>IFERROR(E116/B116,"")</f>
        <v/>
      </c>
    </row>
    <row r="117" ht="15" customHeight="1" s="28">
      <c r="A117" s="51" t="n"/>
      <c r="B117" s="49" t="n"/>
      <c r="C117" s="47">
        <f>IF(B117="","",IFERROR(B117-B116,""))</f>
        <v/>
      </c>
      <c r="E117" s="49" t="n"/>
      <c r="F117" s="50">
        <f>IFERROR(E117/B117,"")</f>
        <v/>
      </c>
    </row>
    <row r="118" ht="15" customHeight="1" s="28">
      <c r="A118" s="51" t="n"/>
      <c r="B118" s="49" t="n"/>
      <c r="C118" s="47">
        <f>IF(B118="","",IFERROR(B118-B117,""))</f>
        <v/>
      </c>
      <c r="E118" s="49" t="n"/>
      <c r="F118" s="50">
        <f>IFERROR(E118/B118,"")</f>
        <v/>
      </c>
    </row>
    <row r="119" ht="15" customHeight="1" s="28">
      <c r="A119" s="51" t="n"/>
      <c r="B119" s="49" t="n"/>
      <c r="C119" s="47">
        <f>IF(B119="","",IFERROR(B119-B118,""))</f>
        <v/>
      </c>
      <c r="E119" s="49" t="n"/>
      <c r="F119" s="50">
        <f>IFERROR(E119/B119,"")</f>
        <v/>
      </c>
    </row>
    <row r="120" ht="15" customHeight="1" s="28">
      <c r="A120" s="51" t="n"/>
      <c r="B120" s="49" t="n"/>
      <c r="C120" s="47">
        <f>IF(B120="","",IFERROR(B120-B119,""))</f>
        <v/>
      </c>
      <c r="E120" s="49" t="n"/>
      <c r="F120" s="50">
        <f>IFERROR(E120/B120,"")</f>
        <v/>
      </c>
    </row>
    <row r="121" ht="15" customHeight="1" s="28">
      <c r="A121" s="51" t="n"/>
      <c r="B121" s="49" t="n"/>
      <c r="C121" s="47">
        <f>IF(B121="","",IFERROR(B121-B120,""))</f>
        <v/>
      </c>
      <c r="E121" s="49" t="n"/>
      <c r="F121" s="50">
        <f>IFERROR(E121/B121,"")</f>
        <v/>
      </c>
    </row>
    <row r="122" ht="15" customHeight="1" s="28">
      <c r="A122" s="51" t="n"/>
      <c r="B122" s="49" t="n"/>
      <c r="C122" s="47">
        <f>IF(B122="","",IFERROR(B122-B121,""))</f>
        <v/>
      </c>
      <c r="E122" s="49" t="n"/>
      <c r="F122" s="50">
        <f>IFERROR(E122/B122,"")</f>
        <v/>
      </c>
    </row>
    <row r="123" ht="15" customHeight="1" s="28">
      <c r="A123" s="51" t="n"/>
      <c r="B123" s="49" t="n"/>
      <c r="C123" s="47">
        <f>IF(B123="","",IFERROR(B123-B122,""))</f>
        <v/>
      </c>
      <c r="E123" s="49" t="n"/>
      <c r="F123" s="50">
        <f>IFERROR(E123/B123,"")</f>
        <v/>
      </c>
    </row>
    <row r="124" ht="15" customHeight="1" s="28">
      <c r="A124" s="51" t="n"/>
      <c r="B124" s="49" t="n"/>
      <c r="C124" s="47">
        <f>IF(B124="","",IFERROR(B124-B123,""))</f>
        <v/>
      </c>
      <c r="E124" s="49" t="n"/>
      <c r="F124" s="50">
        <f>IFERROR(E124/B124,"")</f>
        <v/>
      </c>
    </row>
    <row r="125" ht="15" customHeight="1" s="28">
      <c r="A125" s="51" t="n"/>
      <c r="B125" s="49" t="n"/>
      <c r="C125" s="47">
        <f>IF(B125="","",IFERROR(B125-B124,""))</f>
        <v/>
      </c>
      <c r="E125" s="49" t="n"/>
      <c r="F125" s="50">
        <f>IFERROR(E125/B125,"")</f>
        <v/>
      </c>
    </row>
    <row r="126" ht="15" customHeight="1" s="28">
      <c r="A126" s="51" t="n"/>
      <c r="B126" s="49" t="n"/>
      <c r="C126" s="47">
        <f>IF(B126="","",IFERROR(B126-B125,""))</f>
        <v/>
      </c>
      <c r="E126" s="49" t="n"/>
      <c r="F126" s="50">
        <f>IFERROR(E126/B126,"")</f>
        <v/>
      </c>
    </row>
    <row r="127" ht="15" customHeight="1" s="28">
      <c r="A127" s="51" t="n"/>
      <c r="B127" s="49" t="n"/>
      <c r="C127" s="47">
        <f>IF(B127="","",IFERROR(B127-B126,""))</f>
        <v/>
      </c>
      <c r="E127" s="49" t="n"/>
      <c r="F127" s="50">
        <f>IFERROR(E127/B127,"")</f>
        <v/>
      </c>
    </row>
    <row r="128" ht="15" customHeight="1" s="28">
      <c r="A128" s="51" t="n"/>
      <c r="B128" s="49" t="n"/>
      <c r="C128" s="47">
        <f>IF(B128="","",IFERROR(B128-B127,""))</f>
        <v/>
      </c>
      <c r="E128" s="49" t="n"/>
      <c r="F128" s="50">
        <f>IFERROR(E128/B128,"")</f>
        <v/>
      </c>
    </row>
    <row r="129" ht="15" customHeight="1" s="28">
      <c r="A129" s="51" t="n"/>
      <c r="B129" s="49" t="n"/>
      <c r="C129" s="47">
        <f>IF(B129="","",IFERROR(B129-B128,""))</f>
        <v/>
      </c>
      <c r="E129" s="49" t="n"/>
      <c r="F129" s="50">
        <f>IFERROR(E129/B129,"")</f>
        <v/>
      </c>
    </row>
    <row r="130" ht="15" customHeight="1" s="28">
      <c r="A130" s="51" t="n"/>
      <c r="B130" s="49" t="n"/>
      <c r="C130" s="47">
        <f>IF(B130="","",IFERROR(B130-B129,""))</f>
        <v/>
      </c>
      <c r="E130" s="49" t="n"/>
      <c r="F130" s="50">
        <f>IFERROR(E130/B130,"")</f>
        <v/>
      </c>
    </row>
    <row r="131" ht="15" customHeight="1" s="28">
      <c r="A131" s="51" t="n"/>
      <c r="B131" s="49" t="n"/>
      <c r="C131" s="47">
        <f>IF(B131="","",IFERROR(B131-B130,""))</f>
        <v/>
      </c>
      <c r="E131" s="49" t="n"/>
      <c r="F131" s="50">
        <f>IFERROR(E131/B131,"")</f>
        <v/>
      </c>
    </row>
    <row r="132" ht="15" customHeight="1" s="28">
      <c r="A132" s="51" t="n"/>
      <c r="B132" s="49" t="n"/>
      <c r="C132" s="47">
        <f>IF(B132="","",IFERROR(B132-B131,""))</f>
        <v/>
      </c>
      <c r="E132" s="49" t="n"/>
      <c r="F132" s="50">
        <f>IFERROR(E132/B132,"")</f>
        <v/>
      </c>
    </row>
    <row r="133" ht="15" customHeight="1" s="28">
      <c r="A133" s="51" t="n"/>
      <c r="B133" s="49" t="n"/>
      <c r="C133" s="47">
        <f>IF(B133="","",IFERROR(B133-B132,""))</f>
        <v/>
      </c>
      <c r="E133" s="49" t="n"/>
      <c r="F133" s="50">
        <f>IFERROR(E133/B133,"")</f>
        <v/>
      </c>
    </row>
    <row r="134" ht="15" customHeight="1" s="28">
      <c r="A134" s="51" t="n"/>
      <c r="B134" s="49" t="n"/>
      <c r="C134" s="47">
        <f>IF(B134="","",IFERROR(B134-B133,""))</f>
        <v/>
      </c>
      <c r="E134" s="49" t="n"/>
      <c r="F134" s="50">
        <f>IFERROR(E134/B134,"")</f>
        <v/>
      </c>
    </row>
    <row r="135" ht="15" customHeight="1" s="28">
      <c r="A135" s="51" t="n"/>
      <c r="B135" s="49" t="n"/>
      <c r="C135" s="47">
        <f>IF(B135="","",IFERROR(B135-B134,""))</f>
        <v/>
      </c>
      <c r="E135" s="49" t="n"/>
      <c r="F135" s="50">
        <f>IFERROR(E135/B135,"")</f>
        <v/>
      </c>
    </row>
    <row r="136" ht="15" customHeight="1" s="28">
      <c r="A136" s="51" t="n"/>
      <c r="B136" s="49" t="n"/>
      <c r="C136" s="47">
        <f>IF(B136="","",IFERROR(B136-B135,""))</f>
        <v/>
      </c>
      <c r="E136" s="49" t="n"/>
      <c r="F136" s="50">
        <f>IFERROR(E136/B136,"")</f>
        <v/>
      </c>
    </row>
    <row r="137" ht="15" customHeight="1" s="28">
      <c r="A137" s="51" t="n"/>
      <c r="B137" s="49" t="n"/>
      <c r="C137" s="47">
        <f>IF(B137="","",IFERROR(B137-B136,""))</f>
        <v/>
      </c>
      <c r="E137" s="49" t="n"/>
      <c r="F137" s="50">
        <f>IFERROR(E137/B137,"")</f>
        <v/>
      </c>
    </row>
    <row r="138" ht="15" customHeight="1" s="28">
      <c r="A138" s="51" t="n"/>
      <c r="B138" s="49" t="n"/>
      <c r="C138" s="47">
        <f>IF(B138="","",IFERROR(B138-B137,""))</f>
        <v/>
      </c>
      <c r="E138" s="49" t="n"/>
      <c r="F138" s="50">
        <f>IFERROR(E138/B138,"")</f>
        <v/>
      </c>
    </row>
    <row r="139" ht="15" customHeight="1" s="28">
      <c r="A139" s="51" t="n"/>
      <c r="B139" s="49" t="n"/>
      <c r="C139" s="47">
        <f>IF(B139="","",IFERROR(B139-B138,""))</f>
        <v/>
      </c>
      <c r="E139" s="49" t="n"/>
      <c r="F139" s="50">
        <f>IFERROR(E139/B139,"")</f>
        <v/>
      </c>
    </row>
    <row r="140" ht="15" customHeight="1" s="28">
      <c r="A140" s="51" t="n"/>
      <c r="B140" s="49" t="n"/>
      <c r="C140" s="47">
        <f>IF(B140="","",IFERROR(B140-B139,""))</f>
        <v/>
      </c>
      <c r="E140" s="49" t="n"/>
      <c r="F140" s="50">
        <f>IFERROR(E140/B140,"")</f>
        <v/>
      </c>
    </row>
    <row r="141" ht="15" customHeight="1" s="28">
      <c r="A141" s="51" t="n"/>
      <c r="B141" s="49" t="n"/>
      <c r="C141" s="47">
        <f>IF(B141="","",IFERROR(B141-B140,""))</f>
        <v/>
      </c>
      <c r="E141" s="49" t="n"/>
      <c r="F141" s="50">
        <f>IFERROR(E141/B141,"")</f>
        <v/>
      </c>
    </row>
    <row r="142" ht="15" customHeight="1" s="28">
      <c r="A142" s="51" t="n"/>
      <c r="B142" s="49" t="n"/>
      <c r="C142" s="47">
        <f>IF(B142="","",IFERROR(B142-B141,""))</f>
        <v/>
      </c>
      <c r="E142" s="49" t="n"/>
      <c r="F142" s="50">
        <f>IFERROR(E142/B142,"")</f>
        <v/>
      </c>
    </row>
    <row r="143" ht="15" customHeight="1" s="28">
      <c r="A143" s="51" t="n"/>
      <c r="B143" s="49" t="n"/>
      <c r="C143" s="47">
        <f>IF(B143="","",IFERROR(B143-B142,""))</f>
        <v/>
      </c>
      <c r="E143" s="49" t="n"/>
      <c r="F143" s="50">
        <f>IFERROR(E143/B143,"")</f>
        <v/>
      </c>
    </row>
    <row r="144" ht="15" customHeight="1" s="28">
      <c r="A144" s="51" t="n"/>
      <c r="B144" s="49" t="n"/>
      <c r="C144" s="47">
        <f>IF(B144="","",IFERROR(B144-B143,""))</f>
        <v/>
      </c>
      <c r="E144" s="49" t="n"/>
      <c r="F144" s="50">
        <f>IFERROR(E144/B144,"")</f>
        <v/>
      </c>
    </row>
    <row r="145" ht="15" customHeight="1" s="28">
      <c r="A145" s="51" t="n"/>
      <c r="B145" s="49" t="n"/>
      <c r="C145" s="47">
        <f>IF(B145="","",IFERROR(B145-B144,""))</f>
        <v/>
      </c>
      <c r="E145" s="49" t="n"/>
      <c r="F145" s="50">
        <f>IFERROR(E145/B145,"")</f>
        <v/>
      </c>
    </row>
    <row r="146" ht="15" customHeight="1" s="28">
      <c r="A146" s="51" t="n"/>
      <c r="B146" s="49" t="n"/>
      <c r="C146" s="47">
        <f>IF(B146="","",IFERROR(B146-B145,""))</f>
        <v/>
      </c>
      <c r="E146" s="49" t="n"/>
      <c r="F146" s="50">
        <f>IFERROR(E146/B146,"")</f>
        <v/>
      </c>
    </row>
    <row r="147" ht="15" customHeight="1" s="28">
      <c r="A147" s="51" t="n"/>
      <c r="B147" s="49" t="n"/>
      <c r="C147" s="47">
        <f>IF(B147="","",IFERROR(B147-B146,""))</f>
        <v/>
      </c>
      <c r="E147" s="49" t="n"/>
      <c r="F147" s="50">
        <f>IFERROR(E147/B147,"")</f>
        <v/>
      </c>
    </row>
    <row r="148" ht="15" customHeight="1" s="28">
      <c r="A148" s="51" t="n"/>
      <c r="B148" s="49" t="n"/>
      <c r="C148" s="47">
        <f>IF(B148="","",IFERROR(B148-B147,""))</f>
        <v/>
      </c>
      <c r="E148" s="49" t="n"/>
      <c r="F148" s="50">
        <f>IFERROR(E148/B148,"")</f>
        <v/>
      </c>
    </row>
    <row r="149" ht="15" customHeight="1" s="28">
      <c r="A149" s="51" t="n"/>
      <c r="B149" s="49" t="n"/>
      <c r="C149" s="47">
        <f>IF(B149="","",IFERROR(B149-B148,""))</f>
        <v/>
      </c>
      <c r="E149" s="49" t="n"/>
      <c r="F149" s="50">
        <f>IFERROR(E149/B149,"")</f>
        <v/>
      </c>
    </row>
    <row r="150" ht="15" customHeight="1" s="28">
      <c r="A150" s="51" t="n"/>
      <c r="B150" s="49" t="n"/>
      <c r="C150" s="47">
        <f>IF(B150="","",IFERROR(B150-B149,""))</f>
        <v/>
      </c>
      <c r="E150" s="49" t="n"/>
      <c r="F150" s="50">
        <f>IFERROR(E150/B150,"")</f>
        <v/>
      </c>
    </row>
    <row r="151" ht="15" customHeight="1" s="28">
      <c r="A151" s="51" t="n"/>
      <c r="B151" s="49" t="n"/>
      <c r="C151" s="47">
        <f>IF(B151="","",IFERROR(B151-B150,""))</f>
        <v/>
      </c>
      <c r="E151" s="49" t="n"/>
      <c r="F151" s="50">
        <f>IFERROR(E151/B151,"")</f>
        <v/>
      </c>
    </row>
    <row r="152" ht="15" customHeight="1" s="28">
      <c r="A152" s="51" t="n"/>
      <c r="B152" s="49" t="n"/>
      <c r="C152" s="47">
        <f>IF(B152="","",IFERROR(B152-B151,""))</f>
        <v/>
      </c>
      <c r="E152" s="49" t="n"/>
      <c r="F152" s="50">
        <f>IFERROR(E152/B152,"")</f>
        <v/>
      </c>
    </row>
    <row r="153" ht="15" customHeight="1" s="28">
      <c r="A153" s="51" t="n"/>
      <c r="B153" s="49" t="n"/>
      <c r="C153" s="47">
        <f>IF(B153="","",IFERROR(B153-B152,""))</f>
        <v/>
      </c>
      <c r="E153" s="49" t="n"/>
      <c r="F153" s="50">
        <f>IFERROR(E153/B153,"")</f>
        <v/>
      </c>
    </row>
    <row r="154" ht="15" customHeight="1" s="28">
      <c r="A154" s="51" t="n"/>
      <c r="B154" s="49" t="n"/>
      <c r="C154" s="47">
        <f>IF(B154="","",IFERROR(B154-B153,""))</f>
        <v/>
      </c>
      <c r="E154" s="49" t="n"/>
      <c r="F154" s="50">
        <f>IFERROR(E154/B154,"")</f>
        <v/>
      </c>
    </row>
    <row r="155" ht="15" customHeight="1" s="28">
      <c r="A155" s="51" t="n"/>
      <c r="B155" s="49" t="n"/>
      <c r="C155" s="47">
        <f>IF(B155="","",IFERROR(B155-B154,""))</f>
        <v/>
      </c>
      <c r="E155" s="49" t="n"/>
      <c r="F155" s="50">
        <f>IFERROR(E155/B155,"")</f>
        <v/>
      </c>
    </row>
    <row r="156" ht="15" customHeight="1" s="28">
      <c r="A156" s="51" t="n"/>
      <c r="B156" s="49" t="n"/>
      <c r="C156" s="47">
        <f>IF(B156="","",IFERROR(B156-B155,""))</f>
        <v/>
      </c>
      <c r="E156" s="49" t="n"/>
      <c r="F156" s="50">
        <f>IFERROR(E156/B156,"")</f>
        <v/>
      </c>
    </row>
    <row r="157" ht="15" customHeight="1" s="28">
      <c r="A157" s="51" t="n"/>
      <c r="B157" s="49" t="n"/>
      <c r="C157" s="47">
        <f>IF(B157="","",IFERROR(B157-B156,""))</f>
        <v/>
      </c>
      <c r="E157" s="49" t="n"/>
      <c r="F157" s="50">
        <f>IFERROR(E157/B157,"")</f>
        <v/>
      </c>
    </row>
    <row r="158" ht="15" customHeight="1" s="28">
      <c r="A158" s="51" t="n"/>
      <c r="B158" s="49" t="n"/>
      <c r="C158" s="47">
        <f>IF(B158="","",IFERROR(B158-B157,""))</f>
        <v/>
      </c>
      <c r="E158" s="49" t="n"/>
      <c r="F158" s="50">
        <f>IFERROR(E158/B158,"")</f>
        <v/>
      </c>
    </row>
    <row r="159" ht="15" customHeight="1" s="28">
      <c r="A159" s="51" t="n"/>
      <c r="B159" s="49" t="n"/>
      <c r="C159" s="47">
        <f>IF(B159="","",IFERROR(B159-B158,""))</f>
        <v/>
      </c>
      <c r="E159" s="49" t="n"/>
      <c r="F159" s="50">
        <f>IFERROR(E159/B159,"")</f>
        <v/>
      </c>
    </row>
    <row r="160" ht="15" customHeight="1" s="28">
      <c r="A160" s="51" t="n"/>
      <c r="B160" s="49" t="n"/>
      <c r="C160" s="47">
        <f>IF(B160="","",IFERROR(B160-B159,""))</f>
        <v/>
      </c>
      <c r="E160" s="49" t="n"/>
      <c r="F160" s="50">
        <f>IFERROR(E160/B160,"")</f>
        <v/>
      </c>
    </row>
    <row r="161" ht="15" customHeight="1" s="28">
      <c r="A161" s="51" t="n"/>
      <c r="B161" s="49" t="n"/>
      <c r="C161" s="47">
        <f>IF(B161="","",IFERROR(B161-B160,""))</f>
        <v/>
      </c>
      <c r="E161" s="49" t="n"/>
      <c r="F161" s="50">
        <f>IFERROR(E161/B161,"")</f>
        <v/>
      </c>
    </row>
    <row r="162" ht="15" customHeight="1" s="28">
      <c r="A162" s="51" t="n"/>
      <c r="B162" s="49" t="n"/>
      <c r="C162" s="47">
        <f>IF(B162="","",IFERROR(B162-B161,""))</f>
        <v/>
      </c>
      <c r="E162" s="49" t="n"/>
      <c r="F162" s="50">
        <f>IFERROR(E162/B162,"")</f>
        <v/>
      </c>
    </row>
    <row r="163" ht="15" customHeight="1" s="28">
      <c r="A163" s="51" t="n"/>
      <c r="B163" s="49" t="n"/>
      <c r="C163" s="47">
        <f>IF(B163="","",IFERROR(B163-B162,""))</f>
        <v/>
      </c>
      <c r="E163" s="49" t="n"/>
      <c r="F163" s="50">
        <f>IFERROR(E163/B163,"")</f>
        <v/>
      </c>
    </row>
    <row r="164" ht="15" customHeight="1" s="28">
      <c r="A164" s="51" t="n"/>
      <c r="B164" s="49" t="n"/>
      <c r="C164" s="47">
        <f>IF(B164="","",IFERROR(B164-B163,""))</f>
        <v/>
      </c>
      <c r="E164" s="49" t="n"/>
      <c r="F164" s="50">
        <f>IFERROR(E164/B164,"")</f>
        <v/>
      </c>
    </row>
    <row r="165" ht="15" customHeight="1" s="28">
      <c r="A165" s="51" t="n"/>
      <c r="B165" s="49" t="n"/>
      <c r="C165" s="47">
        <f>IF(B165="","",IFERROR(B165-B164,""))</f>
        <v/>
      </c>
      <c r="E165" s="49" t="n"/>
      <c r="F165" s="50">
        <f>IFERROR(E165/B165,"")</f>
        <v/>
      </c>
    </row>
    <row r="166" ht="15" customHeight="1" s="28">
      <c r="A166" s="51" t="n"/>
      <c r="B166" s="49" t="n"/>
      <c r="C166" s="47">
        <f>IF(B166="","",IFERROR(B166-B165,""))</f>
        <v/>
      </c>
      <c r="E166" s="49" t="n"/>
      <c r="F166" s="50">
        <f>IFERROR(E166/B166,"")</f>
        <v/>
      </c>
    </row>
    <row r="167" ht="15" customHeight="1" s="28">
      <c r="A167" s="51" t="n"/>
      <c r="B167" s="49" t="n"/>
      <c r="C167" s="47">
        <f>IF(B167="","",IFERROR(B167-B166,""))</f>
        <v/>
      </c>
      <c r="E167" s="49" t="n"/>
      <c r="F167" s="50">
        <f>IFERROR(E167/B167,"")</f>
        <v/>
      </c>
    </row>
    <row r="168" ht="15" customHeight="1" s="28">
      <c r="A168" s="51" t="n"/>
      <c r="B168" s="49" t="n"/>
      <c r="C168" s="47">
        <f>IF(B168="","",IFERROR(B168-B167,""))</f>
        <v/>
      </c>
      <c r="E168" s="49" t="n"/>
      <c r="F168" s="50">
        <f>IFERROR(E168/B168,"")</f>
        <v/>
      </c>
    </row>
    <row r="169" ht="15" customHeight="1" s="28">
      <c r="A169" s="51" t="n"/>
      <c r="B169" s="49" t="n"/>
      <c r="C169" s="47">
        <f>IF(B169="","",IFERROR(B169-B168,""))</f>
        <v/>
      </c>
      <c r="E169" s="49" t="n"/>
      <c r="F169" s="50">
        <f>IFERROR(E169/B169,"")</f>
        <v/>
      </c>
    </row>
    <row r="170" ht="15" customHeight="1" s="28">
      <c r="A170" s="51" t="n"/>
      <c r="B170" s="49" t="n"/>
      <c r="C170" s="47">
        <f>IF(B170="","",IFERROR(B170-B169,""))</f>
        <v/>
      </c>
      <c r="E170" s="49" t="n"/>
      <c r="F170" s="50">
        <f>IFERROR(E170/B170,"")</f>
        <v/>
      </c>
    </row>
    <row r="171" ht="15" customHeight="1" s="28">
      <c r="A171" s="51" t="n"/>
      <c r="B171" s="49" t="n"/>
      <c r="C171" s="47">
        <f>IF(B171="","",IFERROR(B171-B170,""))</f>
        <v/>
      </c>
      <c r="E171" s="49" t="n"/>
      <c r="F171" s="50">
        <f>IFERROR(E171/B171,"")</f>
        <v/>
      </c>
    </row>
    <row r="172" ht="15" customHeight="1" s="28">
      <c r="A172" s="51" t="n"/>
      <c r="B172" s="49" t="n"/>
      <c r="C172" s="47">
        <f>IF(B172="","",IFERROR(B172-B171,""))</f>
        <v/>
      </c>
      <c r="E172" s="49" t="n"/>
      <c r="F172" s="50">
        <f>IFERROR(E172/B172,"")</f>
        <v/>
      </c>
    </row>
    <row r="173" ht="15" customHeight="1" s="28">
      <c r="A173" s="51" t="n"/>
      <c r="B173" s="49" t="n"/>
      <c r="C173" s="47">
        <f>IF(B173="","",IFERROR(B173-B172,""))</f>
        <v/>
      </c>
      <c r="E173" s="49" t="n"/>
      <c r="F173" s="50">
        <f>IFERROR(E173/B173,"")</f>
        <v/>
      </c>
    </row>
    <row r="174" ht="15" customHeight="1" s="28">
      <c r="A174" s="51" t="n"/>
      <c r="B174" s="49" t="n"/>
      <c r="C174" s="47">
        <f>IF(B174="","",IFERROR(B174-B173,""))</f>
        <v/>
      </c>
      <c r="E174" s="49" t="n"/>
      <c r="F174" s="50">
        <f>IFERROR(E174/B174,"")</f>
        <v/>
      </c>
    </row>
    <row r="175" ht="15" customHeight="1" s="28">
      <c r="A175" s="51" t="n"/>
      <c r="B175" s="49" t="n"/>
      <c r="C175" s="47">
        <f>IF(B175="","",IFERROR(B175-B174,""))</f>
        <v/>
      </c>
      <c r="E175" s="49" t="n"/>
      <c r="F175" s="50">
        <f>IFERROR(E175/B175,"")</f>
        <v/>
      </c>
    </row>
    <row r="176" ht="15" customHeight="1" s="28">
      <c r="A176" s="51" t="n"/>
      <c r="B176" s="49" t="n"/>
      <c r="C176" s="47">
        <f>IF(B176="","",IFERROR(B176-B175,""))</f>
        <v/>
      </c>
      <c r="E176" s="49" t="n"/>
      <c r="F176" s="50">
        <f>IFERROR(E176/B176,"")</f>
        <v/>
      </c>
    </row>
    <row r="177" ht="15" customHeight="1" s="28">
      <c r="A177" s="51" t="n"/>
      <c r="B177" s="49" t="n"/>
      <c r="C177" s="47">
        <f>IF(B177="","",IFERROR(B177-B176,""))</f>
        <v/>
      </c>
      <c r="E177" s="49" t="n"/>
      <c r="F177" s="50">
        <f>IFERROR(E177/B177,"")</f>
        <v/>
      </c>
    </row>
    <row r="178" ht="15" customHeight="1" s="28">
      <c r="A178" s="51" t="n"/>
      <c r="B178" s="49" t="n"/>
      <c r="C178" s="47">
        <f>IF(B178="","",IFERROR(B178-B177,""))</f>
        <v/>
      </c>
      <c r="E178" s="49" t="n"/>
      <c r="F178" s="50">
        <f>IFERROR(E178/B178,"")</f>
        <v/>
      </c>
    </row>
    <row r="179" ht="15" customHeight="1" s="28">
      <c r="A179" s="51" t="n"/>
      <c r="B179" s="49" t="n"/>
      <c r="C179" s="47">
        <f>IF(B179="","",IFERROR(B179-B178,""))</f>
        <v/>
      </c>
      <c r="E179" s="49" t="n"/>
      <c r="F179" s="50">
        <f>IFERROR(E179/B179,"")</f>
        <v/>
      </c>
    </row>
    <row r="180" ht="15" customHeight="1" s="28">
      <c r="A180" s="51" t="n"/>
      <c r="B180" s="49" t="n"/>
      <c r="C180" s="47">
        <f>IF(B180="","",IFERROR(B180-B179,""))</f>
        <v/>
      </c>
      <c r="E180" s="49" t="n"/>
      <c r="F180" s="50">
        <f>IFERROR(E180/B180,"")</f>
        <v/>
      </c>
    </row>
    <row r="181" ht="15" customHeight="1" s="28">
      <c r="A181" s="51" t="n"/>
      <c r="B181" s="49" t="n"/>
      <c r="C181" s="47">
        <f>IF(B181="","",IFERROR(B181-B180,""))</f>
        <v/>
      </c>
      <c r="E181" s="49" t="n"/>
      <c r="F181" s="50">
        <f>IFERROR(E181/B181,"")</f>
        <v/>
      </c>
    </row>
    <row r="182" ht="15" customHeight="1" s="28">
      <c r="A182" s="51" t="n"/>
      <c r="B182" s="49" t="n"/>
      <c r="C182" s="47">
        <f>IF(B182="","",IFERROR(B182-B181,""))</f>
        <v/>
      </c>
      <c r="E182" s="49" t="n"/>
      <c r="F182" s="50">
        <f>IFERROR(E182/B182,"")</f>
        <v/>
      </c>
    </row>
    <row r="183" ht="15" customHeight="1" s="28">
      <c r="A183" s="51" t="n"/>
      <c r="B183" s="49" t="n"/>
      <c r="C183" s="47">
        <f>IF(B183="","",IFERROR(B183-B182,""))</f>
        <v/>
      </c>
      <c r="E183" s="49" t="n"/>
      <c r="F183" s="50">
        <f>IFERROR(E183/B183,"")</f>
        <v/>
      </c>
    </row>
    <row r="184" ht="15" customHeight="1" s="28">
      <c r="A184" s="51" t="n"/>
      <c r="B184" s="49" t="n"/>
      <c r="C184" s="47">
        <f>IF(B184="","",IFERROR(B184-B183,""))</f>
        <v/>
      </c>
      <c r="E184" s="49" t="n"/>
      <c r="F184" s="50">
        <f>IFERROR(E184/B184,"")</f>
        <v/>
      </c>
    </row>
    <row r="185" ht="15" customHeight="1" s="28">
      <c r="A185" s="51" t="n"/>
      <c r="B185" s="49" t="n"/>
      <c r="C185" s="47">
        <f>IF(B185="","",IFERROR(B185-B184,""))</f>
        <v/>
      </c>
      <c r="E185" s="49" t="n"/>
      <c r="F185" s="50">
        <f>IFERROR(E185/B185,"")</f>
        <v/>
      </c>
    </row>
    <row r="186" ht="15" customHeight="1" s="28">
      <c r="A186" s="51" t="n"/>
      <c r="B186" s="49" t="n"/>
      <c r="C186" s="47">
        <f>IF(B186="","",IFERROR(B186-B185,""))</f>
        <v/>
      </c>
      <c r="E186" s="49" t="n"/>
      <c r="F186" s="50">
        <f>IFERROR(E186/B186,"")</f>
        <v/>
      </c>
    </row>
    <row r="187" ht="15" customHeight="1" s="28">
      <c r="A187" s="51" t="n"/>
      <c r="B187" s="49" t="n"/>
      <c r="C187" s="47">
        <f>IF(B187="","",IFERROR(B187-B186,""))</f>
        <v/>
      </c>
      <c r="E187" s="49" t="n"/>
      <c r="F187" s="50">
        <f>IFERROR(E187/B187,"")</f>
        <v/>
      </c>
    </row>
    <row r="188" ht="15" customHeight="1" s="28">
      <c r="A188" s="51" t="n"/>
      <c r="B188" s="49" t="n"/>
      <c r="C188" s="47">
        <f>IF(B188="","",IFERROR(B188-B187,""))</f>
        <v/>
      </c>
      <c r="E188" s="49" t="n"/>
      <c r="F188" s="50">
        <f>IFERROR(E188/B188,"")</f>
        <v/>
      </c>
    </row>
    <row r="189" ht="15" customHeight="1" s="28">
      <c r="A189" s="51" t="n"/>
      <c r="B189" s="49" t="n"/>
      <c r="C189" s="47">
        <f>IF(B189="","",IFERROR(B189-B188,""))</f>
        <v/>
      </c>
      <c r="E189" s="49" t="n"/>
      <c r="F189" s="50">
        <f>IFERROR(E189/B189,"")</f>
        <v/>
      </c>
    </row>
    <row r="190" ht="15" customHeight="1" s="28">
      <c r="A190" s="51" t="n"/>
      <c r="B190" s="49" t="n"/>
      <c r="C190" s="47">
        <f>IF(B190="","",IFERROR(B190-B189,""))</f>
        <v/>
      </c>
      <c r="E190" s="49" t="n"/>
      <c r="F190" s="50">
        <f>IFERROR(E190/B190,"")</f>
        <v/>
      </c>
    </row>
    <row r="191" ht="15" customHeight="1" s="28">
      <c r="A191" s="51" t="n"/>
      <c r="B191" s="49" t="n"/>
      <c r="C191" s="47">
        <f>IF(B191="","",IFERROR(B191-B190,""))</f>
        <v/>
      </c>
      <c r="E191" s="49" t="n"/>
      <c r="F191" s="50">
        <f>IFERROR(E191/B191,"")</f>
        <v/>
      </c>
    </row>
    <row r="192" ht="15" customHeight="1" s="28">
      <c r="A192" s="51" t="n"/>
      <c r="B192" s="49" t="n"/>
      <c r="C192" s="47">
        <f>IF(B192="","",IFERROR(B192-B191,""))</f>
        <v/>
      </c>
      <c r="E192" s="49" t="n"/>
      <c r="F192" s="50">
        <f>IFERROR(E192/B192,"")</f>
        <v/>
      </c>
    </row>
    <row r="193" ht="15" customHeight="1" s="28">
      <c r="A193" s="51" t="n"/>
      <c r="B193" s="49" t="n"/>
      <c r="C193" s="47">
        <f>IF(B193="","",IFERROR(B193-B192,""))</f>
        <v/>
      </c>
      <c r="E193" s="49" t="n"/>
      <c r="F193" s="50">
        <f>IFERROR(E193/B193,"")</f>
        <v/>
      </c>
    </row>
    <row r="194" ht="15" customHeight="1" s="28">
      <c r="A194" s="51" t="n"/>
      <c r="B194" s="49" t="n"/>
      <c r="C194" s="47">
        <f>IF(B194="","",IFERROR(B194-B193,""))</f>
        <v/>
      </c>
      <c r="E194" s="49" t="n"/>
      <c r="F194" s="50">
        <f>IFERROR(E194/B194,"")</f>
        <v/>
      </c>
    </row>
    <row r="195" ht="15" customHeight="1" s="28">
      <c r="A195" s="51" t="n"/>
      <c r="B195" s="49" t="n"/>
      <c r="C195" s="47">
        <f>IF(B195="","",IFERROR(B195-B194,""))</f>
        <v/>
      </c>
      <c r="E195" s="49" t="n"/>
      <c r="F195" s="50">
        <f>IFERROR(E195/B195,"")</f>
        <v/>
      </c>
    </row>
    <row r="196" ht="15" customHeight="1" s="28">
      <c r="A196" s="51" t="n"/>
      <c r="B196" s="49" t="n"/>
      <c r="C196" s="47">
        <f>IF(B196="","",IFERROR(B196-B195,""))</f>
        <v/>
      </c>
      <c r="E196" s="49" t="n"/>
      <c r="F196" s="50">
        <f>IFERROR(E196/B196,"")</f>
        <v/>
      </c>
    </row>
    <row r="197" ht="15" customHeight="1" s="28">
      <c r="A197" s="51" t="n"/>
      <c r="B197" s="49" t="n"/>
      <c r="C197" s="47">
        <f>IF(B197="","",IFERROR(B197-B196,""))</f>
        <v/>
      </c>
      <c r="E197" s="49" t="n"/>
      <c r="F197" s="50">
        <f>IFERROR(E197/B197,"")</f>
        <v/>
      </c>
    </row>
    <row r="198" ht="15" customHeight="1" s="28">
      <c r="A198" s="51" t="n"/>
      <c r="B198" s="49" t="n"/>
      <c r="C198" s="47">
        <f>IF(B198="","",IFERROR(B198-B197,""))</f>
        <v/>
      </c>
      <c r="E198" s="49" t="n"/>
      <c r="F198" s="50">
        <f>IFERROR(E198/B198,"")</f>
        <v/>
      </c>
    </row>
    <row r="199" ht="15" customHeight="1" s="28">
      <c r="A199" s="51" t="n"/>
      <c r="B199" s="49" t="n"/>
      <c r="C199" s="47">
        <f>IF(B199="","",IFERROR(B199-B198,""))</f>
        <v/>
      </c>
      <c r="E199" s="49" t="n"/>
      <c r="F199" s="50">
        <f>IFERROR(E199/B199,"")</f>
        <v/>
      </c>
    </row>
    <row r="200" ht="15" customHeight="1" s="28">
      <c r="A200" s="51" t="n"/>
      <c r="B200" s="49" t="n"/>
      <c r="C200" s="47">
        <f>IF(B200="","",IFERROR(B200-B199,""))</f>
        <v/>
      </c>
      <c r="E200" s="49" t="n"/>
      <c r="F200" s="50">
        <f>IFERROR(E200/B200,"")</f>
        <v/>
      </c>
    </row>
    <row r="201" ht="15" customHeight="1" s="28">
      <c r="A201" s="51" t="n"/>
      <c r="B201" s="49" t="n"/>
      <c r="C201" s="47">
        <f>IF(B201="","",IFERROR(B201-B200,""))</f>
        <v/>
      </c>
      <c r="E201" s="49" t="n"/>
      <c r="F201" s="50">
        <f>IFERROR(E201/B201,"")</f>
        <v/>
      </c>
    </row>
    <row r="202" ht="15" customHeight="1" s="28">
      <c r="A202" s="51" t="n"/>
      <c r="B202" s="49" t="n"/>
      <c r="C202" s="47">
        <f>IF(B202="","",IFERROR(B202-B201,""))</f>
        <v/>
      </c>
      <c r="E202" s="49" t="n"/>
      <c r="F202" s="50">
        <f>IFERROR(E202/B202,"")</f>
        <v/>
      </c>
    </row>
    <row r="203" ht="15" customHeight="1" s="28">
      <c r="A203" s="51" t="n"/>
      <c r="B203" s="49" t="n"/>
      <c r="C203" s="47">
        <f>IF(B203="","",IFERROR(B203-B202,""))</f>
        <v/>
      </c>
      <c r="E203" s="49" t="n"/>
      <c r="F203" s="50">
        <f>IFERROR(E203/B203,"")</f>
        <v/>
      </c>
    </row>
    <row r="204" ht="15" customHeight="1" s="28">
      <c r="A204" s="51" t="n"/>
      <c r="B204" s="49" t="n"/>
      <c r="C204" s="47">
        <f>IF(B204="","",IFERROR(B204-B203,""))</f>
        <v/>
      </c>
      <c r="E204" s="49" t="n"/>
      <c r="F204" s="50">
        <f>IFERROR(E204/B204,"")</f>
        <v/>
      </c>
    </row>
    <row r="205" ht="15" customHeight="1" s="28">
      <c r="A205" s="51" t="n"/>
      <c r="B205" s="49" t="n"/>
      <c r="C205" s="47">
        <f>IF(B205="","",IFERROR(B205-B204,""))</f>
        <v/>
      </c>
      <c r="E205" s="49" t="n"/>
      <c r="F205" s="50">
        <f>IFERROR(E205/B205,"")</f>
        <v/>
      </c>
    </row>
    <row r="206" ht="15" customHeight="1" s="28">
      <c r="A206" s="51" t="n"/>
      <c r="B206" s="49" t="n"/>
      <c r="C206" s="47">
        <f>IF(B206="","",IFERROR(B206-B205,""))</f>
        <v/>
      </c>
      <c r="E206" s="49" t="n"/>
      <c r="F206" s="50">
        <f>IFERROR(E206/B206,"")</f>
        <v/>
      </c>
    </row>
    <row r="207"/>
    <row r="208" ht="15" customHeight="1" s="28">
      <c r="A208" s="30" t="inlineStr">
        <is>
          <t>Допущение: ERR = охват поста / подписчики на дату. Считается по последнему посту дня, а не по среднему за все посты — если постов несколько, посчитайте среднее сами в колонке 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7" min="1" max="1"/>
    <col width="22" customWidth="1" style="27" min="2" max="2"/>
    <col width="14" customWidth="1" style="27" min="3" max="3"/>
    <col width="12" customWidth="1" style="27" min="4" max="4"/>
    <col width="9" customWidth="1" style="27" min="5" max="5"/>
    <col width="16" customWidth="1" style="27" min="6" max="6"/>
    <col width="15" customWidth="1" style="27" min="7" max="7"/>
    <col width="16" customWidth="1" style="27" min="8" max="8"/>
    <col width="30" customWidth="1" style="27" min="9" max="9"/>
  </cols>
  <sheetData>
    <row r="1" ht="17.35" customHeight="1" s="28">
      <c r="A1" s="29" t="inlineStr">
        <is>
          <t>Закупы (продвижение канала)</t>
        </is>
      </c>
    </row>
    <row r="2" ht="15" customHeight="1" s="28">
      <c r="A2" s="30" t="inlineStr">
        <is>
          <t>Реклама, которую покупаете вы — посевы, Telegram Ads, взаимопиар</t>
        </is>
      </c>
    </row>
    <row r="4" ht="26.85" customHeight="1" s="28">
      <c r="A4" s="39" t="inlineStr">
        <is>
          <t>Дата</t>
        </is>
      </c>
      <c r="B4" s="39" t="inlineStr">
        <is>
          <t>Площадка / канал</t>
        </is>
      </c>
      <c r="C4" s="39" t="inlineStr">
        <is>
          <t>Формат</t>
        </is>
      </c>
      <c r="D4" s="39" t="inlineStr">
        <is>
          <t>Стоимость</t>
        </is>
      </c>
      <c r="E4" s="39" t="inlineStr">
        <is>
          <t>Валюта</t>
        </is>
      </c>
      <c r="F4" s="39" t="inlineStr">
        <is>
          <t>Новых подписчиков</t>
        </is>
      </c>
      <c r="G4" s="39" t="inlineStr">
        <is>
          <t>Цена подписчика</t>
        </is>
      </c>
      <c r="H4" s="39" t="inlineStr">
        <is>
          <t>Окупаемость, мес.</t>
        </is>
      </c>
      <c r="I4" s="39" t="inlineStr">
        <is>
          <t>Комментарий</t>
        </is>
      </c>
    </row>
    <row r="5" ht="15" customHeight="1" s="28">
      <c r="A5" s="40" t="n">
        <v>46283</v>
      </c>
      <c r="B5" s="43" t="inlineStr">
        <is>
          <t>@example_channel</t>
        </is>
      </c>
      <c r="C5" s="43" t="inlineStr">
        <is>
          <t>Посев</t>
        </is>
      </c>
      <c r="D5" s="52" t="n">
        <v>25000</v>
      </c>
      <c r="E5" s="43" t="inlineStr">
        <is>
          <t>RUB</t>
        </is>
      </c>
      <c r="F5" s="41" t="n">
        <v>180</v>
      </c>
      <c r="G5" s="53">
        <f>IFERROR(D5/F5,0)</f>
        <v/>
      </c>
      <c r="H5" s="54">
        <f>IFERROR(G5/Дашборд!$B$14,0)</f>
        <v/>
      </c>
      <c r="I5" s="43" t="inlineStr">
        <is>
          <t>пример — можно удалить</t>
        </is>
      </c>
    </row>
    <row r="6" ht="15" customHeight="1" s="28">
      <c r="A6" s="51" t="n"/>
      <c r="D6" s="55" t="n"/>
      <c r="F6" s="49" t="n"/>
      <c r="G6" s="56">
        <f>IFERROR(D6/F6,"")</f>
        <v/>
      </c>
      <c r="H6" s="57">
        <f>IFERROR(G6/Дашборд!$B$14,"")</f>
        <v/>
      </c>
    </row>
    <row r="7" ht="15" customHeight="1" s="28">
      <c r="A7" s="51" t="n"/>
      <c r="D7" s="55" t="n"/>
      <c r="F7" s="49" t="n"/>
      <c r="G7" s="56">
        <f>IFERROR(D7/F7,"")</f>
        <v/>
      </c>
      <c r="H7" s="57">
        <f>IFERROR(G7/Дашборд!$B$14,"")</f>
        <v/>
      </c>
    </row>
    <row r="8" ht="15" customHeight="1" s="28">
      <c r="A8" s="51" t="n"/>
      <c r="D8" s="55" t="n"/>
      <c r="F8" s="49" t="n"/>
      <c r="G8" s="56">
        <f>IFERROR(D8/F8,"")</f>
        <v/>
      </c>
      <c r="H8" s="57">
        <f>IFERROR(G8/Дашборд!$B$14,"")</f>
        <v/>
      </c>
    </row>
    <row r="9" ht="15" customHeight="1" s="28">
      <c r="A9" s="51" t="n"/>
      <c r="D9" s="55" t="n"/>
      <c r="F9" s="49" t="n"/>
      <c r="G9" s="56">
        <f>IFERROR(D9/F9,"")</f>
        <v/>
      </c>
      <c r="H9" s="57">
        <f>IFERROR(G9/Дашборд!$B$14,"")</f>
        <v/>
      </c>
    </row>
    <row r="10" ht="15" customHeight="1" s="28">
      <c r="A10" s="51" t="n"/>
      <c r="D10" s="55" t="n"/>
      <c r="F10" s="49" t="n"/>
      <c r="G10" s="56">
        <f>IFERROR(D10/F10,"")</f>
        <v/>
      </c>
      <c r="H10" s="57">
        <f>IFERROR(G10/Дашборд!$B$14,"")</f>
        <v/>
      </c>
    </row>
    <row r="11" ht="15" customHeight="1" s="28">
      <c r="A11" s="51" t="n"/>
      <c r="D11" s="55" t="n"/>
      <c r="F11" s="49" t="n"/>
      <c r="G11" s="56">
        <f>IFERROR(D11/F11,"")</f>
        <v/>
      </c>
      <c r="H11" s="57">
        <f>IFERROR(G11/Дашборд!$B$14,"")</f>
        <v/>
      </c>
    </row>
    <row r="12" ht="15" customHeight="1" s="28">
      <c r="A12" s="51" t="n"/>
      <c r="D12" s="55" t="n"/>
      <c r="F12" s="49" t="n"/>
      <c r="G12" s="56">
        <f>IFERROR(D12/F12,"")</f>
        <v/>
      </c>
      <c r="H12" s="57">
        <f>IFERROR(G12/Дашборд!$B$14,"")</f>
        <v/>
      </c>
    </row>
    <row r="13" ht="15" customHeight="1" s="28">
      <c r="A13" s="51" t="n"/>
      <c r="D13" s="55" t="n"/>
      <c r="F13" s="49" t="n"/>
      <c r="G13" s="56">
        <f>IFERROR(D13/F13,"")</f>
        <v/>
      </c>
      <c r="H13" s="57">
        <f>IFERROR(G13/Дашборд!$B$14,"")</f>
        <v/>
      </c>
    </row>
    <row r="14" ht="15" customHeight="1" s="28">
      <c r="A14" s="51" t="n"/>
      <c r="D14" s="55" t="n"/>
      <c r="F14" s="49" t="n"/>
      <c r="G14" s="56">
        <f>IFERROR(D14/F14,"")</f>
        <v/>
      </c>
      <c r="H14" s="57">
        <f>IFERROR(G14/Дашборд!$B$14,"")</f>
        <v/>
      </c>
    </row>
    <row r="15" ht="15" customHeight="1" s="28">
      <c r="A15" s="51" t="n"/>
      <c r="D15" s="55" t="n"/>
      <c r="F15" s="49" t="n"/>
      <c r="G15" s="56">
        <f>IFERROR(D15/F15,"")</f>
        <v/>
      </c>
      <c r="H15" s="57">
        <f>IFERROR(G15/Дашборд!$B$14,"")</f>
        <v/>
      </c>
    </row>
    <row r="16" ht="15" customHeight="1" s="28">
      <c r="A16" s="51" t="n"/>
      <c r="D16" s="55" t="n"/>
      <c r="F16" s="49" t="n"/>
      <c r="G16" s="56">
        <f>IFERROR(D16/F16,"")</f>
        <v/>
      </c>
      <c r="H16" s="57">
        <f>IFERROR(G16/Дашборд!$B$14,"")</f>
        <v/>
      </c>
    </row>
    <row r="17" ht="15" customHeight="1" s="28">
      <c r="A17" s="51" t="n"/>
      <c r="D17" s="55" t="n"/>
      <c r="F17" s="49" t="n"/>
      <c r="G17" s="56">
        <f>IFERROR(D17/F17,"")</f>
        <v/>
      </c>
      <c r="H17" s="57">
        <f>IFERROR(G17/Дашборд!$B$14,"")</f>
        <v/>
      </c>
    </row>
    <row r="18" ht="15" customHeight="1" s="28">
      <c r="A18" s="51" t="n"/>
      <c r="D18" s="55" t="n"/>
      <c r="F18" s="49" t="n"/>
      <c r="G18" s="56">
        <f>IFERROR(D18/F18,"")</f>
        <v/>
      </c>
      <c r="H18" s="57">
        <f>IFERROR(G18/Дашборд!$B$14,"")</f>
        <v/>
      </c>
    </row>
    <row r="19" ht="15" customHeight="1" s="28">
      <c r="A19" s="51" t="n"/>
      <c r="D19" s="55" t="n"/>
      <c r="F19" s="49" t="n"/>
      <c r="G19" s="56">
        <f>IFERROR(D19/F19,"")</f>
        <v/>
      </c>
      <c r="H19" s="57">
        <f>IFERROR(G19/Дашборд!$B$14,"")</f>
        <v/>
      </c>
    </row>
    <row r="20" ht="15" customHeight="1" s="28">
      <c r="A20" s="51" t="n"/>
      <c r="D20" s="55" t="n"/>
      <c r="F20" s="49" t="n"/>
      <c r="G20" s="56">
        <f>IFERROR(D20/F20,"")</f>
        <v/>
      </c>
      <c r="H20" s="57">
        <f>IFERROR(G20/Дашборд!$B$14,"")</f>
        <v/>
      </c>
    </row>
    <row r="21" ht="15" customHeight="1" s="28">
      <c r="A21" s="51" t="n"/>
      <c r="D21" s="55" t="n"/>
      <c r="F21" s="49" t="n"/>
      <c r="G21" s="56">
        <f>IFERROR(D21/F21,"")</f>
        <v/>
      </c>
      <c r="H21" s="57">
        <f>IFERROR(G21/Дашборд!$B$14,"")</f>
        <v/>
      </c>
    </row>
    <row r="22" ht="15" customHeight="1" s="28">
      <c r="A22" s="51" t="n"/>
      <c r="D22" s="55" t="n"/>
      <c r="F22" s="49" t="n"/>
      <c r="G22" s="56">
        <f>IFERROR(D22/F22,"")</f>
        <v/>
      </c>
      <c r="H22" s="57">
        <f>IFERROR(G22/Дашборд!$B$14,"")</f>
        <v/>
      </c>
    </row>
    <row r="23" ht="15" customHeight="1" s="28">
      <c r="A23" s="51" t="n"/>
      <c r="D23" s="55" t="n"/>
      <c r="F23" s="49" t="n"/>
      <c r="G23" s="56">
        <f>IFERROR(D23/F23,"")</f>
        <v/>
      </c>
      <c r="H23" s="57">
        <f>IFERROR(G23/Дашборд!$B$14,"")</f>
        <v/>
      </c>
    </row>
    <row r="24" ht="15" customHeight="1" s="28">
      <c r="A24" s="51" t="n"/>
      <c r="D24" s="55" t="n"/>
      <c r="F24" s="49" t="n"/>
      <c r="G24" s="56">
        <f>IFERROR(D24/F24,"")</f>
        <v/>
      </c>
      <c r="H24" s="57">
        <f>IFERROR(G24/Дашборд!$B$14,"")</f>
        <v/>
      </c>
    </row>
    <row r="25" ht="15" customHeight="1" s="28">
      <c r="A25" s="51" t="n"/>
      <c r="D25" s="55" t="n"/>
      <c r="F25" s="49" t="n"/>
      <c r="G25" s="56">
        <f>IFERROR(D25/F25,"")</f>
        <v/>
      </c>
      <c r="H25" s="57">
        <f>IFERROR(G25/Дашборд!$B$14,"")</f>
        <v/>
      </c>
    </row>
    <row r="26" ht="15" customHeight="1" s="28">
      <c r="A26" s="51" t="n"/>
      <c r="D26" s="55" t="n"/>
      <c r="F26" s="49" t="n"/>
      <c r="G26" s="56">
        <f>IFERROR(D26/F26,"")</f>
        <v/>
      </c>
      <c r="H26" s="57">
        <f>IFERROR(G26/Дашборд!$B$14,"")</f>
        <v/>
      </c>
    </row>
    <row r="27" ht="15" customHeight="1" s="28">
      <c r="A27" s="51" t="n"/>
      <c r="D27" s="55" t="n"/>
      <c r="F27" s="49" t="n"/>
      <c r="G27" s="56">
        <f>IFERROR(D27/F27,"")</f>
        <v/>
      </c>
      <c r="H27" s="57">
        <f>IFERROR(G27/Дашборд!$B$14,"")</f>
        <v/>
      </c>
    </row>
    <row r="28" ht="15" customHeight="1" s="28">
      <c r="A28" s="51" t="n"/>
      <c r="D28" s="55" t="n"/>
      <c r="F28" s="49" t="n"/>
      <c r="G28" s="56">
        <f>IFERROR(D28/F28,"")</f>
        <v/>
      </c>
      <c r="H28" s="57">
        <f>IFERROR(G28/Дашборд!$B$14,"")</f>
        <v/>
      </c>
    </row>
    <row r="29" ht="15" customHeight="1" s="28">
      <c r="A29" s="51" t="n"/>
      <c r="D29" s="55" t="n"/>
      <c r="F29" s="49" t="n"/>
      <c r="G29" s="56">
        <f>IFERROR(D29/F29,"")</f>
        <v/>
      </c>
      <c r="H29" s="57">
        <f>IFERROR(G29/Дашборд!$B$14,"")</f>
        <v/>
      </c>
    </row>
    <row r="30" ht="15" customHeight="1" s="28">
      <c r="A30" s="51" t="n"/>
      <c r="D30" s="55" t="n"/>
      <c r="F30" s="49" t="n"/>
      <c r="G30" s="56">
        <f>IFERROR(D30/F30,"")</f>
        <v/>
      </c>
      <c r="H30" s="57">
        <f>IFERROR(G30/Дашборд!$B$14,"")</f>
        <v/>
      </c>
    </row>
    <row r="31" ht="15" customHeight="1" s="28">
      <c r="A31" s="51" t="n"/>
      <c r="D31" s="55" t="n"/>
      <c r="F31" s="49" t="n"/>
      <c r="G31" s="56">
        <f>IFERROR(D31/F31,"")</f>
        <v/>
      </c>
      <c r="H31" s="57">
        <f>IFERROR(G31/Дашборд!$B$14,"")</f>
        <v/>
      </c>
    </row>
    <row r="32" ht="15" customHeight="1" s="28">
      <c r="A32" s="51" t="n"/>
      <c r="D32" s="55" t="n"/>
      <c r="F32" s="49" t="n"/>
      <c r="G32" s="56">
        <f>IFERROR(D32/F32,"")</f>
        <v/>
      </c>
      <c r="H32" s="57">
        <f>IFERROR(G32/Дашборд!$B$14,"")</f>
        <v/>
      </c>
    </row>
    <row r="33" ht="15" customHeight="1" s="28">
      <c r="A33" s="51" t="n"/>
      <c r="D33" s="55" t="n"/>
      <c r="F33" s="49" t="n"/>
      <c r="G33" s="56">
        <f>IFERROR(D33/F33,"")</f>
        <v/>
      </c>
      <c r="H33" s="57">
        <f>IFERROR(G33/Дашборд!$B$14,"")</f>
        <v/>
      </c>
    </row>
    <row r="34" ht="15" customHeight="1" s="28">
      <c r="A34" s="51" t="n"/>
      <c r="D34" s="55" t="n"/>
      <c r="F34" s="49" t="n"/>
      <c r="G34" s="56">
        <f>IFERROR(D34/F34,"")</f>
        <v/>
      </c>
      <c r="H34" s="57">
        <f>IFERROR(G34/Дашборд!$B$14,"")</f>
        <v/>
      </c>
    </row>
    <row r="35" ht="15" customHeight="1" s="28">
      <c r="A35" s="51" t="n"/>
      <c r="D35" s="55" t="n"/>
      <c r="F35" s="49" t="n"/>
      <c r="G35" s="56">
        <f>IFERROR(D35/F35,"")</f>
        <v/>
      </c>
      <c r="H35" s="57">
        <f>IFERROR(G35/Дашборд!$B$14,"")</f>
        <v/>
      </c>
    </row>
    <row r="36" ht="15" customHeight="1" s="28">
      <c r="A36" s="51" t="n"/>
      <c r="D36" s="55" t="n"/>
      <c r="F36" s="49" t="n"/>
      <c r="G36" s="56">
        <f>IFERROR(D36/F36,"")</f>
        <v/>
      </c>
      <c r="H36" s="57">
        <f>IFERROR(G36/Дашборд!$B$14,"")</f>
        <v/>
      </c>
    </row>
    <row r="37" ht="15" customHeight="1" s="28">
      <c r="A37" s="51" t="n"/>
      <c r="D37" s="55" t="n"/>
      <c r="F37" s="49" t="n"/>
      <c r="G37" s="56">
        <f>IFERROR(D37/F37,"")</f>
        <v/>
      </c>
      <c r="H37" s="57">
        <f>IFERROR(G37/Дашборд!$B$14,"")</f>
        <v/>
      </c>
    </row>
    <row r="38" ht="15" customHeight="1" s="28">
      <c r="A38" s="51" t="n"/>
      <c r="D38" s="55" t="n"/>
      <c r="F38" s="49" t="n"/>
      <c r="G38" s="56">
        <f>IFERROR(D38/F38,"")</f>
        <v/>
      </c>
      <c r="H38" s="57">
        <f>IFERROR(G38/Дашборд!$B$14,"")</f>
        <v/>
      </c>
    </row>
    <row r="39" ht="15" customHeight="1" s="28">
      <c r="A39" s="51" t="n"/>
      <c r="D39" s="55" t="n"/>
      <c r="F39" s="49" t="n"/>
      <c r="G39" s="56">
        <f>IFERROR(D39/F39,"")</f>
        <v/>
      </c>
      <c r="H39" s="57">
        <f>IFERROR(G39/Дашборд!$B$14,"")</f>
        <v/>
      </c>
    </row>
    <row r="40" ht="15" customHeight="1" s="28">
      <c r="A40" s="51" t="n"/>
      <c r="D40" s="55" t="n"/>
      <c r="F40" s="49" t="n"/>
      <c r="G40" s="56">
        <f>IFERROR(D40/F40,"")</f>
        <v/>
      </c>
      <c r="H40" s="57">
        <f>IFERROR(G40/Дашборд!$B$14,"")</f>
        <v/>
      </c>
    </row>
    <row r="41" ht="15" customHeight="1" s="28">
      <c r="A41" s="51" t="n"/>
      <c r="D41" s="55" t="n"/>
      <c r="F41" s="49" t="n"/>
      <c r="G41" s="56">
        <f>IFERROR(D41/F41,"")</f>
        <v/>
      </c>
      <c r="H41" s="57">
        <f>IFERROR(G41/Дашборд!$B$14,"")</f>
        <v/>
      </c>
    </row>
    <row r="42" ht="15" customHeight="1" s="28">
      <c r="A42" s="51" t="n"/>
      <c r="D42" s="55" t="n"/>
      <c r="F42" s="49" t="n"/>
      <c r="G42" s="56">
        <f>IFERROR(D42/F42,"")</f>
        <v/>
      </c>
      <c r="H42" s="57">
        <f>IFERROR(G42/Дашборд!$B$14,"")</f>
        <v/>
      </c>
    </row>
    <row r="43" ht="15" customHeight="1" s="28">
      <c r="A43" s="51" t="n"/>
      <c r="D43" s="55" t="n"/>
      <c r="F43" s="49" t="n"/>
      <c r="G43" s="56">
        <f>IFERROR(D43/F43,"")</f>
        <v/>
      </c>
      <c r="H43" s="57">
        <f>IFERROR(G43/Дашборд!$B$14,"")</f>
        <v/>
      </c>
    </row>
    <row r="44" ht="15" customHeight="1" s="28">
      <c r="A44" s="51" t="n"/>
      <c r="D44" s="55" t="n"/>
      <c r="F44" s="49" t="n"/>
      <c r="G44" s="56">
        <f>IFERROR(D44/F44,"")</f>
        <v/>
      </c>
      <c r="H44" s="57">
        <f>IFERROR(G44/Дашборд!$B$14,"")</f>
        <v/>
      </c>
    </row>
    <row r="45" ht="15" customHeight="1" s="28">
      <c r="A45" s="51" t="n"/>
      <c r="D45" s="55" t="n"/>
      <c r="F45" s="49" t="n"/>
      <c r="G45" s="56">
        <f>IFERROR(D45/F45,"")</f>
        <v/>
      </c>
      <c r="H45" s="57">
        <f>IFERROR(G45/Дашборд!$B$14,"")</f>
        <v/>
      </c>
    </row>
    <row r="46" ht="15" customHeight="1" s="28">
      <c r="A46" s="51" t="n"/>
      <c r="D46" s="55" t="n"/>
      <c r="F46" s="49" t="n"/>
      <c r="G46" s="56">
        <f>IFERROR(D46/F46,"")</f>
        <v/>
      </c>
      <c r="H46" s="57">
        <f>IFERROR(G46/Дашборд!$B$14,"")</f>
        <v/>
      </c>
    </row>
    <row r="47" ht="15" customHeight="1" s="28">
      <c r="A47" s="51" t="n"/>
      <c r="D47" s="55" t="n"/>
      <c r="F47" s="49" t="n"/>
      <c r="G47" s="56">
        <f>IFERROR(D47/F47,"")</f>
        <v/>
      </c>
      <c r="H47" s="57">
        <f>IFERROR(G47/Дашборд!$B$14,"")</f>
        <v/>
      </c>
    </row>
    <row r="48" ht="15" customHeight="1" s="28">
      <c r="A48" s="51" t="n"/>
      <c r="D48" s="55" t="n"/>
      <c r="F48" s="49" t="n"/>
      <c r="G48" s="56">
        <f>IFERROR(D48/F48,"")</f>
        <v/>
      </c>
      <c r="H48" s="57">
        <f>IFERROR(G48/Дашборд!$B$14,"")</f>
        <v/>
      </c>
    </row>
    <row r="49" ht="15" customHeight="1" s="28">
      <c r="A49" s="51" t="n"/>
      <c r="D49" s="55" t="n"/>
      <c r="F49" s="49" t="n"/>
      <c r="G49" s="56">
        <f>IFERROR(D49/F49,"")</f>
        <v/>
      </c>
      <c r="H49" s="57">
        <f>IFERROR(G49/Дашборд!$B$14,"")</f>
        <v/>
      </c>
    </row>
    <row r="50" ht="15" customHeight="1" s="28">
      <c r="A50" s="51" t="n"/>
      <c r="D50" s="55" t="n"/>
      <c r="F50" s="49" t="n"/>
      <c r="G50" s="56">
        <f>IFERROR(D50/F50,"")</f>
        <v/>
      </c>
      <c r="H50" s="57">
        <f>IFERROR(G50/Дашборд!$B$14,"")</f>
        <v/>
      </c>
    </row>
    <row r="51" ht="15" customHeight="1" s="28">
      <c r="A51" s="51" t="n"/>
      <c r="D51" s="55" t="n"/>
      <c r="F51" s="49" t="n"/>
      <c r="G51" s="56">
        <f>IFERROR(D51/F51,"")</f>
        <v/>
      </c>
      <c r="H51" s="57">
        <f>IFERROR(G51/Дашборд!$B$14,"")</f>
        <v/>
      </c>
    </row>
    <row r="52" ht="15" customHeight="1" s="28">
      <c r="A52" s="51" t="n"/>
      <c r="D52" s="55" t="n"/>
      <c r="F52" s="49" t="n"/>
      <c r="G52" s="56">
        <f>IFERROR(D52/F52,"")</f>
        <v/>
      </c>
      <c r="H52" s="57">
        <f>IFERROR(G52/Дашборд!$B$14,"")</f>
        <v/>
      </c>
    </row>
    <row r="53" ht="15" customHeight="1" s="28">
      <c r="A53" s="51" t="n"/>
      <c r="D53" s="55" t="n"/>
      <c r="F53" s="49" t="n"/>
      <c r="G53" s="56">
        <f>IFERROR(D53/F53,"")</f>
        <v/>
      </c>
      <c r="H53" s="57">
        <f>IFERROR(G53/Дашборд!$B$14,"")</f>
        <v/>
      </c>
    </row>
    <row r="54" ht="15" customHeight="1" s="28">
      <c r="A54" s="51" t="n"/>
      <c r="D54" s="55" t="n"/>
      <c r="F54" s="49" t="n"/>
      <c r="G54" s="56">
        <f>IFERROR(D54/F54,"")</f>
        <v/>
      </c>
      <c r="H54" s="57">
        <f>IFERROR(G54/Дашборд!$B$14,"")</f>
        <v/>
      </c>
    </row>
    <row r="55" ht="15" customHeight="1" s="28">
      <c r="A55" s="51" t="n"/>
      <c r="D55" s="55" t="n"/>
      <c r="F55" s="49" t="n"/>
      <c r="G55" s="56">
        <f>IFERROR(D55/F55,"")</f>
        <v/>
      </c>
      <c r="H55" s="57">
        <f>IFERROR(G55/Дашборд!$B$14,"")</f>
        <v/>
      </c>
    </row>
    <row r="56" ht="15" customHeight="1" s="28">
      <c r="A56" s="51" t="n"/>
      <c r="D56" s="55" t="n"/>
      <c r="F56" s="49" t="n"/>
      <c r="G56" s="56">
        <f>IFERROR(D56/F56,"")</f>
        <v/>
      </c>
      <c r="H56" s="57">
        <f>IFERROR(G56/Дашборд!$B$14,"")</f>
        <v/>
      </c>
    </row>
    <row r="57" ht="15" customHeight="1" s="28">
      <c r="A57" s="51" t="n"/>
      <c r="D57" s="55" t="n"/>
      <c r="F57" s="49" t="n"/>
      <c r="G57" s="56">
        <f>IFERROR(D57/F57,"")</f>
        <v/>
      </c>
      <c r="H57" s="57">
        <f>IFERROR(G57/Дашборд!$B$14,"")</f>
        <v/>
      </c>
    </row>
    <row r="58" ht="15" customHeight="1" s="28">
      <c r="A58" s="51" t="n"/>
      <c r="D58" s="55" t="n"/>
      <c r="F58" s="49" t="n"/>
      <c r="G58" s="56">
        <f>IFERROR(D58/F58,"")</f>
        <v/>
      </c>
      <c r="H58" s="57">
        <f>IFERROR(G58/Дашборд!$B$14,"")</f>
        <v/>
      </c>
    </row>
    <row r="59" ht="15" customHeight="1" s="28">
      <c r="A59" s="51" t="n"/>
      <c r="D59" s="55" t="n"/>
      <c r="F59" s="49" t="n"/>
      <c r="G59" s="56">
        <f>IFERROR(D59/F59,"")</f>
        <v/>
      </c>
      <c r="H59" s="57">
        <f>IFERROR(G59/Дашборд!$B$14,"")</f>
        <v/>
      </c>
    </row>
    <row r="60" ht="15" customHeight="1" s="28">
      <c r="A60" s="51" t="n"/>
      <c r="D60" s="55" t="n"/>
      <c r="F60" s="49" t="n"/>
      <c r="G60" s="56">
        <f>IFERROR(D60/F60,"")</f>
        <v/>
      </c>
      <c r="H60" s="57">
        <f>IFERROR(G60/Дашборд!$B$14,"")</f>
        <v/>
      </c>
    </row>
    <row r="61" ht="15" customHeight="1" s="28">
      <c r="A61" s="51" t="n"/>
      <c r="D61" s="55" t="n"/>
      <c r="F61" s="49" t="n"/>
      <c r="G61" s="56">
        <f>IFERROR(D61/F61,"")</f>
        <v/>
      </c>
      <c r="H61" s="57">
        <f>IFERROR(G61/Дашборд!$B$14,"")</f>
        <v/>
      </c>
    </row>
    <row r="62" ht="15" customHeight="1" s="28">
      <c r="A62" s="51" t="n"/>
      <c r="D62" s="55" t="n"/>
      <c r="F62" s="49" t="n"/>
      <c r="G62" s="56">
        <f>IFERROR(D62/F62,"")</f>
        <v/>
      </c>
      <c r="H62" s="57">
        <f>IFERROR(G62/Дашборд!$B$14,"")</f>
        <v/>
      </c>
    </row>
    <row r="63" ht="15" customHeight="1" s="28">
      <c r="A63" s="51" t="n"/>
      <c r="D63" s="55" t="n"/>
      <c r="F63" s="49" t="n"/>
      <c r="G63" s="56">
        <f>IFERROR(D63/F63,"")</f>
        <v/>
      </c>
      <c r="H63" s="57">
        <f>IFERROR(G63/Дашборд!$B$14,"")</f>
        <v/>
      </c>
    </row>
    <row r="64" ht="15" customHeight="1" s="28">
      <c r="A64" s="51" t="n"/>
      <c r="D64" s="55" t="n"/>
      <c r="F64" s="49" t="n"/>
      <c r="G64" s="56">
        <f>IFERROR(D64/F64,"")</f>
        <v/>
      </c>
      <c r="H64" s="57">
        <f>IFERROR(G64/Дашборд!$B$14,"")</f>
        <v/>
      </c>
    </row>
    <row r="65" ht="15" customHeight="1" s="28">
      <c r="A65" s="51" t="n"/>
      <c r="D65" s="55" t="n"/>
      <c r="F65" s="49" t="n"/>
      <c r="G65" s="56">
        <f>IFERROR(D65/F65,"")</f>
        <v/>
      </c>
      <c r="H65" s="57">
        <f>IFERROR(G65/Дашборд!$B$14,"")</f>
        <v/>
      </c>
    </row>
    <row r="66" ht="15" customHeight="1" s="28">
      <c r="A66" s="51" t="n"/>
      <c r="D66" s="55" t="n"/>
      <c r="F66" s="49" t="n"/>
      <c r="G66" s="56">
        <f>IFERROR(D66/F66,"")</f>
        <v/>
      </c>
      <c r="H66" s="57">
        <f>IFERROR(G66/Дашборд!$B$14,"")</f>
        <v/>
      </c>
    </row>
    <row r="67" ht="15" customHeight="1" s="28">
      <c r="A67" s="51" t="n"/>
      <c r="D67" s="55" t="n"/>
      <c r="F67" s="49" t="n"/>
      <c r="G67" s="56">
        <f>IFERROR(D67/F67,"")</f>
        <v/>
      </c>
      <c r="H67" s="57">
        <f>IFERROR(G67/Дашборд!$B$14,"")</f>
        <v/>
      </c>
    </row>
    <row r="68" ht="15" customHeight="1" s="28">
      <c r="A68" s="51" t="n"/>
      <c r="D68" s="55" t="n"/>
      <c r="F68" s="49" t="n"/>
      <c r="G68" s="56">
        <f>IFERROR(D68/F68,"")</f>
        <v/>
      </c>
      <c r="H68" s="57">
        <f>IFERROR(G68/Дашборд!$B$14,"")</f>
        <v/>
      </c>
    </row>
    <row r="69" ht="15" customHeight="1" s="28">
      <c r="A69" s="51" t="n"/>
      <c r="D69" s="55" t="n"/>
      <c r="F69" s="49" t="n"/>
      <c r="G69" s="56">
        <f>IFERROR(D69/F69,"")</f>
        <v/>
      </c>
      <c r="H69" s="57">
        <f>IFERROR(G69/Дашборд!$B$14,"")</f>
        <v/>
      </c>
    </row>
    <row r="70" ht="15" customHeight="1" s="28">
      <c r="A70" s="51" t="n"/>
      <c r="D70" s="55" t="n"/>
      <c r="F70" s="49" t="n"/>
      <c r="G70" s="56">
        <f>IFERROR(D70/F70,"")</f>
        <v/>
      </c>
      <c r="H70" s="57">
        <f>IFERROR(G70/Дашборд!$B$14,"")</f>
        <v/>
      </c>
    </row>
    <row r="71" ht="15" customHeight="1" s="28">
      <c r="A71" s="51" t="n"/>
      <c r="D71" s="55" t="n"/>
      <c r="F71" s="49" t="n"/>
      <c r="G71" s="56">
        <f>IFERROR(D71/F71,"")</f>
        <v/>
      </c>
      <c r="H71" s="57">
        <f>IFERROR(G71/Дашборд!$B$14,"")</f>
        <v/>
      </c>
    </row>
    <row r="72" ht="15" customHeight="1" s="28">
      <c r="A72" s="51" t="n"/>
      <c r="D72" s="55" t="n"/>
      <c r="F72" s="49" t="n"/>
      <c r="G72" s="56">
        <f>IFERROR(D72/F72,"")</f>
        <v/>
      </c>
      <c r="H72" s="57">
        <f>IFERROR(G72/Дашборд!$B$14,"")</f>
        <v/>
      </c>
    </row>
    <row r="73" ht="15" customHeight="1" s="28">
      <c r="A73" s="51" t="n"/>
      <c r="D73" s="55" t="n"/>
      <c r="F73" s="49" t="n"/>
      <c r="G73" s="56">
        <f>IFERROR(D73/F73,"")</f>
        <v/>
      </c>
      <c r="H73" s="57">
        <f>IFERROR(G73/Дашборд!$B$14,"")</f>
        <v/>
      </c>
    </row>
    <row r="74" ht="15" customHeight="1" s="28">
      <c r="A74" s="51" t="n"/>
      <c r="D74" s="55" t="n"/>
      <c r="F74" s="49" t="n"/>
      <c r="G74" s="56">
        <f>IFERROR(D74/F74,"")</f>
        <v/>
      </c>
      <c r="H74" s="57">
        <f>IFERROR(G74/Дашборд!$B$14,"")</f>
        <v/>
      </c>
    </row>
    <row r="75" ht="15" customHeight="1" s="28">
      <c r="A75" s="51" t="n"/>
      <c r="D75" s="55" t="n"/>
      <c r="F75" s="49" t="n"/>
      <c r="G75" s="56">
        <f>IFERROR(D75/F75,"")</f>
        <v/>
      </c>
      <c r="H75" s="57">
        <f>IFERROR(G75/Дашборд!$B$14,"")</f>
        <v/>
      </c>
    </row>
    <row r="76" ht="15" customHeight="1" s="28">
      <c r="A76" s="51" t="n"/>
      <c r="D76" s="55" t="n"/>
      <c r="F76" s="49" t="n"/>
      <c r="G76" s="56">
        <f>IFERROR(D76/F76,"")</f>
        <v/>
      </c>
      <c r="H76" s="57">
        <f>IFERROR(G76/Дашборд!$B$14,"")</f>
        <v/>
      </c>
    </row>
    <row r="77" ht="15" customHeight="1" s="28">
      <c r="A77" s="51" t="n"/>
      <c r="D77" s="55" t="n"/>
      <c r="F77" s="49" t="n"/>
      <c r="G77" s="56">
        <f>IFERROR(D77/F77,"")</f>
        <v/>
      </c>
      <c r="H77" s="57">
        <f>IFERROR(G77/Дашборд!$B$14,"")</f>
        <v/>
      </c>
    </row>
    <row r="78" ht="15" customHeight="1" s="28">
      <c r="A78" s="51" t="n"/>
      <c r="D78" s="55" t="n"/>
      <c r="F78" s="49" t="n"/>
      <c r="G78" s="56">
        <f>IFERROR(D78/F78,"")</f>
        <v/>
      </c>
      <c r="H78" s="57">
        <f>IFERROR(G78/Дашборд!$B$14,"")</f>
        <v/>
      </c>
    </row>
    <row r="79" ht="15" customHeight="1" s="28">
      <c r="A79" s="51" t="n"/>
      <c r="D79" s="55" t="n"/>
      <c r="F79" s="49" t="n"/>
      <c r="G79" s="56">
        <f>IFERROR(D79/F79,"")</f>
        <v/>
      </c>
      <c r="H79" s="57">
        <f>IFERROR(G79/Дашборд!$B$14,"")</f>
        <v/>
      </c>
    </row>
    <row r="80" ht="15" customHeight="1" s="28">
      <c r="A80" s="51" t="n"/>
      <c r="D80" s="55" t="n"/>
      <c r="F80" s="49" t="n"/>
      <c r="G80" s="56">
        <f>IFERROR(D80/F80,"")</f>
        <v/>
      </c>
      <c r="H80" s="57">
        <f>IFERROR(G80/Дашборд!$B$14,"")</f>
        <v/>
      </c>
    </row>
    <row r="81" ht="15" customHeight="1" s="28">
      <c r="A81" s="51" t="n"/>
      <c r="D81" s="55" t="n"/>
      <c r="F81" s="49" t="n"/>
      <c r="G81" s="56">
        <f>IFERROR(D81/F81,"")</f>
        <v/>
      </c>
      <c r="H81" s="57">
        <f>IFERROR(G81/Дашборд!$B$14,"")</f>
        <v/>
      </c>
    </row>
    <row r="82" ht="15" customHeight="1" s="28">
      <c r="A82" s="51" t="n"/>
      <c r="D82" s="55" t="n"/>
      <c r="F82" s="49" t="n"/>
      <c r="G82" s="56">
        <f>IFERROR(D82/F82,"")</f>
        <v/>
      </c>
      <c r="H82" s="57">
        <f>IFERROR(G82/Дашборд!$B$14,"")</f>
        <v/>
      </c>
    </row>
    <row r="83" ht="15" customHeight="1" s="28">
      <c r="A83" s="51" t="n"/>
      <c r="D83" s="55" t="n"/>
      <c r="F83" s="49" t="n"/>
      <c r="G83" s="56">
        <f>IFERROR(D83/F83,"")</f>
        <v/>
      </c>
      <c r="H83" s="57">
        <f>IFERROR(G83/Дашборд!$B$14,"")</f>
        <v/>
      </c>
    </row>
    <row r="84" ht="15" customHeight="1" s="28">
      <c r="A84" s="51" t="n"/>
      <c r="D84" s="55" t="n"/>
      <c r="F84" s="49" t="n"/>
      <c r="G84" s="56">
        <f>IFERROR(D84/F84,"")</f>
        <v/>
      </c>
      <c r="H84" s="57">
        <f>IFERROR(G84/Дашборд!$B$14,"")</f>
        <v/>
      </c>
    </row>
    <row r="85" ht="15" customHeight="1" s="28">
      <c r="A85" s="51" t="n"/>
      <c r="D85" s="55" t="n"/>
      <c r="F85" s="49" t="n"/>
      <c r="G85" s="56">
        <f>IFERROR(D85/F85,"")</f>
        <v/>
      </c>
      <c r="H85" s="57">
        <f>IFERROR(G85/Дашборд!$B$14,"")</f>
        <v/>
      </c>
    </row>
    <row r="86" ht="15" customHeight="1" s="28">
      <c r="A86" s="51" t="n"/>
      <c r="D86" s="55" t="n"/>
      <c r="F86" s="49" t="n"/>
      <c r="G86" s="56">
        <f>IFERROR(D86/F86,"")</f>
        <v/>
      </c>
      <c r="H86" s="57">
        <f>IFERROR(G86/Дашборд!$B$14,"")</f>
        <v/>
      </c>
    </row>
    <row r="87" ht="15" customHeight="1" s="28">
      <c r="A87" s="51" t="n"/>
      <c r="D87" s="55" t="n"/>
      <c r="F87" s="49" t="n"/>
      <c r="G87" s="56">
        <f>IFERROR(D87/F87,"")</f>
        <v/>
      </c>
      <c r="H87" s="57">
        <f>IFERROR(G87/Дашборд!$B$14,"")</f>
        <v/>
      </c>
    </row>
    <row r="88" ht="15" customHeight="1" s="28">
      <c r="A88" s="51" t="n"/>
      <c r="D88" s="55" t="n"/>
      <c r="F88" s="49" t="n"/>
      <c r="G88" s="56">
        <f>IFERROR(D88/F88,"")</f>
        <v/>
      </c>
      <c r="H88" s="57">
        <f>IFERROR(G88/Дашборд!$B$14,"")</f>
        <v/>
      </c>
    </row>
    <row r="89" ht="15" customHeight="1" s="28">
      <c r="A89" s="51" t="n"/>
      <c r="D89" s="55" t="n"/>
      <c r="F89" s="49" t="n"/>
      <c r="G89" s="56">
        <f>IFERROR(D89/F89,"")</f>
        <v/>
      </c>
      <c r="H89" s="57">
        <f>IFERROR(G89/Дашборд!$B$14,"")</f>
        <v/>
      </c>
    </row>
    <row r="90" ht="15" customHeight="1" s="28">
      <c r="A90" s="51" t="n"/>
      <c r="D90" s="55" t="n"/>
      <c r="F90" s="49" t="n"/>
      <c r="G90" s="56">
        <f>IFERROR(D90/F90,"")</f>
        <v/>
      </c>
      <c r="H90" s="57">
        <f>IFERROR(G90/Дашборд!$B$14,"")</f>
        <v/>
      </c>
    </row>
    <row r="91" ht="15" customHeight="1" s="28">
      <c r="A91" s="51" t="n"/>
      <c r="D91" s="55" t="n"/>
      <c r="F91" s="49" t="n"/>
      <c r="G91" s="56">
        <f>IFERROR(D91/F91,"")</f>
        <v/>
      </c>
      <c r="H91" s="57">
        <f>IFERROR(G91/Дашборд!$B$14,"")</f>
        <v/>
      </c>
    </row>
    <row r="92" ht="15" customHeight="1" s="28">
      <c r="A92" s="51" t="n"/>
      <c r="D92" s="55" t="n"/>
      <c r="F92" s="49" t="n"/>
      <c r="G92" s="56">
        <f>IFERROR(D92/F92,"")</f>
        <v/>
      </c>
      <c r="H92" s="57">
        <f>IFERROR(G92/Дашборд!$B$14,"")</f>
        <v/>
      </c>
    </row>
    <row r="93" ht="15" customHeight="1" s="28">
      <c r="A93" s="51" t="n"/>
      <c r="D93" s="55" t="n"/>
      <c r="F93" s="49" t="n"/>
      <c r="G93" s="56">
        <f>IFERROR(D93/F93,"")</f>
        <v/>
      </c>
      <c r="H93" s="57">
        <f>IFERROR(G93/Дашборд!$B$14,"")</f>
        <v/>
      </c>
    </row>
    <row r="94" ht="15" customHeight="1" s="28">
      <c r="A94" s="51" t="n"/>
      <c r="D94" s="55" t="n"/>
      <c r="F94" s="49" t="n"/>
      <c r="G94" s="56">
        <f>IFERROR(D94/F94,"")</f>
        <v/>
      </c>
      <c r="H94" s="57">
        <f>IFERROR(G94/Дашборд!$B$14,"")</f>
        <v/>
      </c>
    </row>
    <row r="95" ht="15" customHeight="1" s="28">
      <c r="A95" s="51" t="n"/>
      <c r="D95" s="55" t="n"/>
      <c r="F95" s="49" t="n"/>
      <c r="G95" s="56">
        <f>IFERROR(D95/F95,"")</f>
        <v/>
      </c>
      <c r="H95" s="57">
        <f>IFERROR(G95/Дашборд!$B$14,"")</f>
        <v/>
      </c>
    </row>
    <row r="96" ht="15" customHeight="1" s="28">
      <c r="A96" s="51" t="n"/>
      <c r="D96" s="55" t="n"/>
      <c r="F96" s="49" t="n"/>
      <c r="G96" s="56">
        <f>IFERROR(D96/F96,"")</f>
        <v/>
      </c>
      <c r="H96" s="57">
        <f>IFERROR(G96/Дашборд!$B$14,"")</f>
        <v/>
      </c>
    </row>
    <row r="97" ht="15" customHeight="1" s="28">
      <c r="A97" s="51" t="n"/>
      <c r="D97" s="55" t="n"/>
      <c r="F97" s="49" t="n"/>
      <c r="G97" s="56">
        <f>IFERROR(D97/F97,"")</f>
        <v/>
      </c>
      <c r="H97" s="57">
        <f>IFERROR(G97/Дашборд!$B$14,"")</f>
        <v/>
      </c>
    </row>
    <row r="98" ht="15" customHeight="1" s="28">
      <c r="A98" s="51" t="n"/>
      <c r="D98" s="55" t="n"/>
      <c r="F98" s="49" t="n"/>
      <c r="G98" s="56">
        <f>IFERROR(D98/F98,"")</f>
        <v/>
      </c>
      <c r="H98" s="57">
        <f>IFERROR(G98/Дашборд!$B$14,"")</f>
        <v/>
      </c>
    </row>
    <row r="99" ht="15" customHeight="1" s="28">
      <c r="A99" s="51" t="n"/>
      <c r="D99" s="55" t="n"/>
      <c r="F99" s="49" t="n"/>
      <c r="G99" s="56">
        <f>IFERROR(D99/F99,"")</f>
        <v/>
      </c>
      <c r="H99" s="57">
        <f>IFERROR(G99/Дашборд!$B$14,"")</f>
        <v/>
      </c>
    </row>
    <row r="100" ht="15" customHeight="1" s="28">
      <c r="A100" s="51" t="n"/>
      <c r="D100" s="55" t="n"/>
      <c r="F100" s="49" t="n"/>
      <c r="G100" s="56">
        <f>IFERROR(D100/F100,"")</f>
        <v/>
      </c>
      <c r="H100" s="57">
        <f>IFERROR(G100/Дашборд!$B$14,"")</f>
        <v/>
      </c>
    </row>
    <row r="101" ht="15" customHeight="1" s="28">
      <c r="A101" s="51" t="n"/>
      <c r="D101" s="55" t="n"/>
      <c r="F101" s="49" t="n"/>
      <c r="G101" s="56">
        <f>IFERROR(D101/F101,"")</f>
        <v/>
      </c>
      <c r="H101" s="57">
        <f>IFERROR(G101/Дашборд!$B$14,"")</f>
        <v/>
      </c>
    </row>
    <row r="102" ht="15" customHeight="1" s="28">
      <c r="A102" s="51" t="n"/>
      <c r="D102" s="55" t="n"/>
      <c r="F102" s="49" t="n"/>
      <c r="G102" s="56">
        <f>IFERROR(D102/F102,"")</f>
        <v/>
      </c>
      <c r="H102" s="57">
        <f>IFERROR(G102/Дашборд!$B$14,"")</f>
        <v/>
      </c>
    </row>
    <row r="103" ht="15" customHeight="1" s="28">
      <c r="A103" s="51" t="n"/>
      <c r="D103" s="55" t="n"/>
      <c r="F103" s="49" t="n"/>
      <c r="G103" s="56">
        <f>IFERROR(D103/F103,"")</f>
        <v/>
      </c>
      <c r="H103" s="57">
        <f>IFERROR(G103/Дашборд!$B$14,"")</f>
        <v/>
      </c>
    </row>
    <row r="104" ht="15" customHeight="1" s="28">
      <c r="A104" s="51" t="n"/>
      <c r="D104" s="55" t="n"/>
      <c r="F104" s="49" t="n"/>
      <c r="G104" s="56">
        <f>IFERROR(D104/F104,"")</f>
        <v/>
      </c>
      <c r="H104" s="57">
        <f>IFERROR(G104/Дашборд!$B$14,"")</f>
        <v/>
      </c>
    </row>
    <row r="105" ht="15" customHeight="1" s="28">
      <c r="A105" s="51" t="n"/>
      <c r="D105" s="55" t="n"/>
      <c r="F105" s="49" t="n"/>
      <c r="G105" s="56">
        <f>IFERROR(D105/F105,"")</f>
        <v/>
      </c>
      <c r="H105" s="57">
        <f>IFERROR(G105/Дашборд!$B$14,"")</f>
        <v/>
      </c>
    </row>
    <row r="106" ht="15" customHeight="1" s="28">
      <c r="A106" s="51" t="n"/>
      <c r="D106" s="55" t="n"/>
      <c r="F106" s="49" t="n"/>
      <c r="G106" s="56">
        <f>IFERROR(D106/F106,"")</f>
        <v/>
      </c>
      <c r="H106" s="57">
        <f>IFERROR(G106/Дашборд!$B$14,"")</f>
        <v/>
      </c>
    </row>
    <row r="107" ht="15" customHeight="1" s="28">
      <c r="A107" s="51" t="n"/>
      <c r="D107" s="55" t="n"/>
      <c r="F107" s="49" t="n"/>
      <c r="G107" s="56">
        <f>IFERROR(D107/F107,"")</f>
        <v/>
      </c>
      <c r="H107" s="57">
        <f>IFERROR(G107/Дашборд!$B$14,"")</f>
        <v/>
      </c>
    </row>
    <row r="108" ht="15" customHeight="1" s="28">
      <c r="A108" s="51" t="n"/>
      <c r="D108" s="55" t="n"/>
      <c r="F108" s="49" t="n"/>
      <c r="G108" s="56">
        <f>IFERROR(D108/F108,"")</f>
        <v/>
      </c>
      <c r="H108" s="57">
        <f>IFERROR(G108/Дашборд!$B$14,"")</f>
        <v/>
      </c>
    </row>
    <row r="109" ht="15" customHeight="1" s="28">
      <c r="A109" s="51" t="n"/>
      <c r="D109" s="55" t="n"/>
      <c r="F109" s="49" t="n"/>
      <c r="G109" s="56">
        <f>IFERROR(D109/F109,"")</f>
        <v/>
      </c>
      <c r="H109" s="57">
        <f>IFERROR(G109/Дашборд!$B$14,"")</f>
        <v/>
      </c>
    </row>
    <row r="110" ht="15" customHeight="1" s="28">
      <c r="A110" s="51" t="n"/>
      <c r="D110" s="55" t="n"/>
      <c r="F110" s="49" t="n"/>
      <c r="G110" s="56">
        <f>IFERROR(D110/F110,"")</f>
        <v/>
      </c>
      <c r="H110" s="57">
        <f>IFERROR(G110/Дашборд!$B$14,"")</f>
        <v/>
      </c>
    </row>
    <row r="111" ht="15" customHeight="1" s="28">
      <c r="A111" s="51" t="n"/>
      <c r="D111" s="55" t="n"/>
      <c r="F111" s="49" t="n"/>
      <c r="G111" s="56">
        <f>IFERROR(D111/F111,"")</f>
        <v/>
      </c>
      <c r="H111" s="57">
        <f>IFERROR(G111/Дашборд!$B$14,"")</f>
        <v/>
      </c>
    </row>
    <row r="112" ht="15" customHeight="1" s="28">
      <c r="A112" s="51" t="n"/>
      <c r="D112" s="55" t="n"/>
      <c r="F112" s="49" t="n"/>
      <c r="G112" s="56">
        <f>IFERROR(D112/F112,"")</f>
        <v/>
      </c>
      <c r="H112" s="57">
        <f>IFERROR(G112/Дашборд!$B$14,"")</f>
        <v/>
      </c>
    </row>
    <row r="113" ht="15" customHeight="1" s="28">
      <c r="A113" s="51" t="n"/>
      <c r="D113" s="55" t="n"/>
      <c r="F113" s="49" t="n"/>
      <c r="G113" s="56">
        <f>IFERROR(D113/F113,"")</f>
        <v/>
      </c>
      <c r="H113" s="57">
        <f>IFERROR(G113/Дашборд!$B$14,"")</f>
        <v/>
      </c>
    </row>
    <row r="114" ht="15" customHeight="1" s="28">
      <c r="A114" s="51" t="n"/>
      <c r="D114" s="55" t="n"/>
      <c r="F114" s="49" t="n"/>
      <c r="G114" s="56">
        <f>IFERROR(D114/F114,"")</f>
        <v/>
      </c>
      <c r="H114" s="57">
        <f>IFERROR(G114/Дашборд!$B$14,"")</f>
        <v/>
      </c>
    </row>
    <row r="115" ht="15" customHeight="1" s="28">
      <c r="A115" s="51" t="n"/>
      <c r="D115" s="55" t="n"/>
      <c r="F115" s="49" t="n"/>
      <c r="G115" s="56">
        <f>IFERROR(D115/F115,"")</f>
        <v/>
      </c>
      <c r="H115" s="57">
        <f>IFERROR(G115/Дашборд!$B$14,"")</f>
        <v/>
      </c>
    </row>
    <row r="116" ht="15" customHeight="1" s="28">
      <c r="A116" s="51" t="n"/>
      <c r="D116" s="55" t="n"/>
      <c r="F116" s="49" t="n"/>
      <c r="G116" s="56">
        <f>IFERROR(D116/F116,"")</f>
        <v/>
      </c>
      <c r="H116" s="57">
        <f>IFERROR(G116/Дашборд!$B$14,"")</f>
        <v/>
      </c>
    </row>
    <row r="117" ht="15" customHeight="1" s="28">
      <c r="A117" s="51" t="n"/>
      <c r="D117" s="55" t="n"/>
      <c r="F117" s="49" t="n"/>
      <c r="G117" s="56">
        <f>IFERROR(D117/F117,"")</f>
        <v/>
      </c>
      <c r="H117" s="57">
        <f>IFERROR(G117/Дашборд!$B$14,"")</f>
        <v/>
      </c>
    </row>
    <row r="118" ht="15" customHeight="1" s="28">
      <c r="A118" s="51" t="n"/>
      <c r="D118" s="55" t="n"/>
      <c r="F118" s="49" t="n"/>
      <c r="G118" s="56">
        <f>IFERROR(D118/F118,"")</f>
        <v/>
      </c>
      <c r="H118" s="57">
        <f>IFERROR(G118/Дашборд!$B$14,"")</f>
        <v/>
      </c>
    </row>
    <row r="119" ht="15" customHeight="1" s="28">
      <c r="A119" s="51" t="n"/>
      <c r="D119" s="55" t="n"/>
      <c r="F119" s="49" t="n"/>
      <c r="G119" s="56">
        <f>IFERROR(D119/F119,"")</f>
        <v/>
      </c>
      <c r="H119" s="57">
        <f>IFERROR(G119/Дашборд!$B$14,"")</f>
        <v/>
      </c>
    </row>
    <row r="120" ht="15" customHeight="1" s="28">
      <c r="A120" s="51" t="n"/>
      <c r="D120" s="55" t="n"/>
      <c r="F120" s="49" t="n"/>
      <c r="G120" s="56">
        <f>IFERROR(D120/F120,"")</f>
        <v/>
      </c>
      <c r="H120" s="57">
        <f>IFERROR(G120/Дашборд!$B$14,"")</f>
        <v/>
      </c>
    </row>
    <row r="121" ht="15" customHeight="1" s="28">
      <c r="A121" s="51" t="n"/>
      <c r="D121" s="55" t="n"/>
      <c r="F121" s="49" t="n"/>
      <c r="G121" s="56">
        <f>IFERROR(D121/F121,"")</f>
        <v/>
      </c>
      <c r="H121" s="57">
        <f>IFERROR(G121/Дашборд!$B$14,"")</f>
        <v/>
      </c>
    </row>
    <row r="122" ht="15" customHeight="1" s="28">
      <c r="A122" s="51" t="n"/>
      <c r="D122" s="55" t="n"/>
      <c r="F122" s="49" t="n"/>
      <c r="G122" s="56">
        <f>IFERROR(D122/F122,"")</f>
        <v/>
      </c>
      <c r="H122" s="57">
        <f>IFERROR(G122/Дашборд!$B$14,"")</f>
        <v/>
      </c>
    </row>
    <row r="123" ht="15" customHeight="1" s="28">
      <c r="A123" s="51" t="n"/>
      <c r="D123" s="55" t="n"/>
      <c r="F123" s="49" t="n"/>
      <c r="G123" s="56">
        <f>IFERROR(D123/F123,"")</f>
        <v/>
      </c>
      <c r="H123" s="57">
        <f>IFERROR(G123/Дашборд!$B$14,"")</f>
        <v/>
      </c>
    </row>
    <row r="124" ht="15" customHeight="1" s="28">
      <c r="A124" s="51" t="n"/>
      <c r="D124" s="55" t="n"/>
      <c r="F124" s="49" t="n"/>
      <c r="G124" s="56">
        <f>IFERROR(D124/F124,"")</f>
        <v/>
      </c>
      <c r="H124" s="57">
        <f>IFERROR(G124/Дашборд!$B$14,"")</f>
        <v/>
      </c>
    </row>
    <row r="125" ht="15" customHeight="1" s="28">
      <c r="A125" s="51" t="n"/>
      <c r="D125" s="55" t="n"/>
      <c r="F125" s="49" t="n"/>
      <c r="G125" s="56">
        <f>IFERROR(D125/F125,"")</f>
        <v/>
      </c>
      <c r="H125" s="57">
        <f>IFERROR(G125/Дашборд!$B$14,"")</f>
        <v/>
      </c>
    </row>
    <row r="126" ht="15" customHeight="1" s="28">
      <c r="A126" s="51" t="n"/>
      <c r="D126" s="55" t="n"/>
      <c r="F126" s="49" t="n"/>
      <c r="G126" s="56">
        <f>IFERROR(D126/F126,"")</f>
        <v/>
      </c>
      <c r="H126" s="57">
        <f>IFERROR(G126/Дашборд!$B$14,"")</f>
        <v/>
      </c>
    </row>
    <row r="127" ht="15" customHeight="1" s="28">
      <c r="A127" s="51" t="n"/>
      <c r="D127" s="55" t="n"/>
      <c r="F127" s="49" t="n"/>
      <c r="G127" s="56">
        <f>IFERROR(D127/F127,"")</f>
        <v/>
      </c>
      <c r="H127" s="57">
        <f>IFERROR(G127/Дашборд!$B$14,"")</f>
        <v/>
      </c>
    </row>
    <row r="128" ht="15" customHeight="1" s="28">
      <c r="A128" s="51" t="n"/>
      <c r="D128" s="55" t="n"/>
      <c r="F128" s="49" t="n"/>
      <c r="G128" s="56">
        <f>IFERROR(D128/F128,"")</f>
        <v/>
      </c>
      <c r="H128" s="57">
        <f>IFERROR(G128/Дашборд!$B$14,"")</f>
        <v/>
      </c>
    </row>
    <row r="129" ht="15" customHeight="1" s="28">
      <c r="A129" s="51" t="n"/>
      <c r="D129" s="55" t="n"/>
      <c r="F129" s="49" t="n"/>
      <c r="G129" s="56">
        <f>IFERROR(D129/F129,"")</f>
        <v/>
      </c>
      <c r="H129" s="57">
        <f>IFERROR(G129/Дашборд!$B$14,"")</f>
        <v/>
      </c>
    </row>
    <row r="130" ht="15" customHeight="1" s="28">
      <c r="A130" s="51" t="n"/>
      <c r="D130" s="55" t="n"/>
      <c r="F130" s="49" t="n"/>
      <c r="G130" s="56">
        <f>IFERROR(D130/F130,"")</f>
        <v/>
      </c>
      <c r="H130" s="57">
        <f>IFERROR(G130/Дашборд!$B$14,"")</f>
        <v/>
      </c>
    </row>
    <row r="131" ht="15" customHeight="1" s="28">
      <c r="A131" s="51" t="n"/>
      <c r="D131" s="55" t="n"/>
      <c r="F131" s="49" t="n"/>
      <c r="G131" s="56">
        <f>IFERROR(D131/F131,"")</f>
        <v/>
      </c>
      <c r="H131" s="57">
        <f>IFERROR(G131/Дашборд!$B$14,"")</f>
        <v/>
      </c>
    </row>
    <row r="132" ht="15" customHeight="1" s="28">
      <c r="A132" s="51" t="n"/>
      <c r="D132" s="55" t="n"/>
      <c r="F132" s="49" t="n"/>
      <c r="G132" s="56">
        <f>IFERROR(D132/F132,"")</f>
        <v/>
      </c>
      <c r="H132" s="57">
        <f>IFERROR(G132/Дашборд!$B$14,"")</f>
        <v/>
      </c>
    </row>
    <row r="133" ht="15" customHeight="1" s="28">
      <c r="A133" s="51" t="n"/>
      <c r="D133" s="55" t="n"/>
      <c r="F133" s="49" t="n"/>
      <c r="G133" s="56">
        <f>IFERROR(D133/F133,"")</f>
        <v/>
      </c>
      <c r="H133" s="57">
        <f>IFERROR(G133/Дашборд!$B$14,"")</f>
        <v/>
      </c>
    </row>
    <row r="134" ht="15" customHeight="1" s="28">
      <c r="A134" s="51" t="n"/>
      <c r="D134" s="55" t="n"/>
      <c r="F134" s="49" t="n"/>
      <c r="G134" s="56">
        <f>IFERROR(D134/F134,"")</f>
        <v/>
      </c>
      <c r="H134" s="57">
        <f>IFERROR(G134/Дашборд!$B$14,"")</f>
        <v/>
      </c>
    </row>
    <row r="135" ht="15" customHeight="1" s="28">
      <c r="A135" s="51" t="n"/>
      <c r="D135" s="55" t="n"/>
      <c r="F135" s="49" t="n"/>
      <c r="G135" s="56">
        <f>IFERROR(D135/F135,"")</f>
        <v/>
      </c>
      <c r="H135" s="57">
        <f>IFERROR(G135/Дашборд!$B$14,"")</f>
        <v/>
      </c>
    </row>
    <row r="136" ht="15" customHeight="1" s="28">
      <c r="A136" s="51" t="n"/>
      <c r="D136" s="55" t="n"/>
      <c r="F136" s="49" t="n"/>
      <c r="G136" s="56">
        <f>IFERROR(D136/F136,"")</f>
        <v/>
      </c>
      <c r="H136" s="57">
        <f>IFERROR(G136/Дашборд!$B$14,"")</f>
        <v/>
      </c>
    </row>
    <row r="137" ht="15" customHeight="1" s="28">
      <c r="A137" s="51" t="n"/>
      <c r="D137" s="55" t="n"/>
      <c r="F137" s="49" t="n"/>
      <c r="G137" s="56">
        <f>IFERROR(D137/F137,"")</f>
        <v/>
      </c>
      <c r="H137" s="57">
        <f>IFERROR(G137/Дашборд!$B$14,"")</f>
        <v/>
      </c>
    </row>
    <row r="138" ht="15" customHeight="1" s="28">
      <c r="A138" s="51" t="n"/>
      <c r="D138" s="55" t="n"/>
      <c r="F138" s="49" t="n"/>
      <c r="G138" s="56">
        <f>IFERROR(D138/F138,"")</f>
        <v/>
      </c>
      <c r="H138" s="57">
        <f>IFERROR(G138/Дашборд!$B$14,"")</f>
        <v/>
      </c>
    </row>
    <row r="139" ht="15" customHeight="1" s="28">
      <c r="A139" s="51" t="n"/>
      <c r="D139" s="55" t="n"/>
      <c r="F139" s="49" t="n"/>
      <c r="G139" s="56">
        <f>IFERROR(D139/F139,"")</f>
        <v/>
      </c>
      <c r="H139" s="57">
        <f>IFERROR(G139/Дашборд!$B$14,"")</f>
        <v/>
      </c>
    </row>
    <row r="140" ht="15" customHeight="1" s="28">
      <c r="A140" s="51" t="n"/>
      <c r="D140" s="55" t="n"/>
      <c r="F140" s="49" t="n"/>
      <c r="G140" s="56">
        <f>IFERROR(D140/F140,"")</f>
        <v/>
      </c>
      <c r="H140" s="57">
        <f>IFERROR(G140/Дашборд!$B$14,"")</f>
        <v/>
      </c>
    </row>
    <row r="141" ht="15" customHeight="1" s="28">
      <c r="A141" s="51" t="n"/>
      <c r="D141" s="55" t="n"/>
      <c r="F141" s="49" t="n"/>
      <c r="G141" s="56">
        <f>IFERROR(D141/F141,"")</f>
        <v/>
      </c>
      <c r="H141" s="57">
        <f>IFERROR(G141/Дашборд!$B$14,"")</f>
        <v/>
      </c>
    </row>
    <row r="142" ht="15" customHeight="1" s="28">
      <c r="A142" s="51" t="n"/>
      <c r="D142" s="55" t="n"/>
      <c r="F142" s="49" t="n"/>
      <c r="G142" s="56">
        <f>IFERROR(D142/F142,"")</f>
        <v/>
      </c>
      <c r="H142" s="57">
        <f>IFERROR(G142/Дашборд!$B$14,"")</f>
        <v/>
      </c>
    </row>
    <row r="143" ht="15" customHeight="1" s="28">
      <c r="A143" s="51" t="n"/>
      <c r="D143" s="55" t="n"/>
      <c r="F143" s="49" t="n"/>
      <c r="G143" s="56">
        <f>IFERROR(D143/F143,"")</f>
        <v/>
      </c>
      <c r="H143" s="57">
        <f>IFERROR(G143/Дашборд!$B$14,"")</f>
        <v/>
      </c>
    </row>
    <row r="144" ht="15" customHeight="1" s="28">
      <c r="A144" s="51" t="n"/>
      <c r="D144" s="55" t="n"/>
      <c r="F144" s="49" t="n"/>
      <c r="G144" s="56">
        <f>IFERROR(D144/F144,"")</f>
        <v/>
      </c>
      <c r="H144" s="57">
        <f>IFERROR(G144/Дашборд!$B$14,"")</f>
        <v/>
      </c>
    </row>
    <row r="145" ht="15" customHeight="1" s="28">
      <c r="A145" s="51" t="n"/>
      <c r="D145" s="55" t="n"/>
      <c r="F145" s="49" t="n"/>
      <c r="G145" s="56">
        <f>IFERROR(D145/F145,"")</f>
        <v/>
      </c>
      <c r="H145" s="57">
        <f>IFERROR(G145/Дашборд!$B$14,"")</f>
        <v/>
      </c>
    </row>
    <row r="146" ht="15" customHeight="1" s="28">
      <c r="A146" s="51" t="n"/>
      <c r="D146" s="55" t="n"/>
      <c r="F146" s="49" t="n"/>
      <c r="G146" s="56">
        <f>IFERROR(D146/F146,"")</f>
        <v/>
      </c>
      <c r="H146" s="57">
        <f>IFERROR(G146/Дашборд!$B$14,"")</f>
        <v/>
      </c>
    </row>
    <row r="147" ht="15" customHeight="1" s="28">
      <c r="A147" s="51" t="n"/>
      <c r="D147" s="55" t="n"/>
      <c r="F147" s="49" t="n"/>
      <c r="G147" s="56">
        <f>IFERROR(D147/F147,"")</f>
        <v/>
      </c>
      <c r="H147" s="57">
        <f>IFERROR(G147/Дашборд!$B$14,"")</f>
        <v/>
      </c>
    </row>
    <row r="148" ht="15" customHeight="1" s="28">
      <c r="A148" s="51" t="n"/>
      <c r="D148" s="55" t="n"/>
      <c r="F148" s="49" t="n"/>
      <c r="G148" s="56">
        <f>IFERROR(D148/F148,"")</f>
        <v/>
      </c>
      <c r="H148" s="57">
        <f>IFERROR(G148/Дашборд!$B$14,"")</f>
        <v/>
      </c>
    </row>
    <row r="149" ht="15" customHeight="1" s="28">
      <c r="A149" s="51" t="n"/>
      <c r="D149" s="55" t="n"/>
      <c r="F149" s="49" t="n"/>
      <c r="G149" s="56">
        <f>IFERROR(D149/F149,"")</f>
        <v/>
      </c>
      <c r="H149" s="57">
        <f>IFERROR(G149/Дашборд!$B$14,"")</f>
        <v/>
      </c>
    </row>
    <row r="150" ht="15" customHeight="1" s="28">
      <c r="A150" s="51" t="n"/>
      <c r="D150" s="55" t="n"/>
      <c r="F150" s="49" t="n"/>
      <c r="G150" s="56">
        <f>IFERROR(D150/F150,"")</f>
        <v/>
      </c>
      <c r="H150" s="57">
        <f>IFERROR(G150/Дашборд!$B$14,"")</f>
        <v/>
      </c>
    </row>
    <row r="151" ht="15" customHeight="1" s="28">
      <c r="A151" s="51" t="n"/>
      <c r="D151" s="55" t="n"/>
      <c r="F151" s="49" t="n"/>
      <c r="G151" s="56">
        <f>IFERROR(D151/F151,"")</f>
        <v/>
      </c>
      <c r="H151" s="57">
        <f>IFERROR(G151/Дашборд!$B$14,"")</f>
        <v/>
      </c>
    </row>
    <row r="152" ht="15" customHeight="1" s="28">
      <c r="A152" s="51" t="n"/>
      <c r="D152" s="55" t="n"/>
      <c r="F152" s="49" t="n"/>
      <c r="G152" s="56">
        <f>IFERROR(D152/F152,"")</f>
        <v/>
      </c>
      <c r="H152" s="57">
        <f>IFERROR(G152/Дашборд!$B$14,"")</f>
        <v/>
      </c>
    </row>
    <row r="153" ht="15" customHeight="1" s="28">
      <c r="A153" s="51" t="n"/>
      <c r="D153" s="55" t="n"/>
      <c r="F153" s="49" t="n"/>
      <c r="G153" s="56">
        <f>IFERROR(D153/F153,"")</f>
        <v/>
      </c>
      <c r="H153" s="57">
        <f>IFERROR(G153/Дашборд!$B$14,"")</f>
        <v/>
      </c>
    </row>
    <row r="154" ht="15" customHeight="1" s="28">
      <c r="A154" s="51" t="n"/>
      <c r="D154" s="55" t="n"/>
      <c r="F154" s="49" t="n"/>
      <c r="G154" s="56">
        <f>IFERROR(D154/F154,"")</f>
        <v/>
      </c>
      <c r="H154" s="57">
        <f>IFERROR(G154/Дашборд!$B$14,"")</f>
        <v/>
      </c>
    </row>
    <row r="155" ht="15" customHeight="1" s="28">
      <c r="A155" s="51" t="n"/>
      <c r="D155" s="55" t="n"/>
      <c r="F155" s="49" t="n"/>
      <c r="G155" s="56">
        <f>IFERROR(D155/F155,"")</f>
        <v/>
      </c>
      <c r="H155" s="57">
        <f>IFERROR(G155/Дашборд!$B$14,"")</f>
        <v/>
      </c>
    </row>
    <row r="156" ht="15" customHeight="1" s="28">
      <c r="A156" s="51" t="n"/>
      <c r="D156" s="55" t="n"/>
      <c r="F156" s="49" t="n"/>
      <c r="G156" s="56">
        <f>IFERROR(D156/F156,"")</f>
        <v/>
      </c>
      <c r="H156" s="57">
        <f>IFERROR(G156/Дашборд!$B$14,"")</f>
        <v/>
      </c>
    </row>
    <row r="157" ht="15" customHeight="1" s="28">
      <c r="A157" s="51" t="n"/>
      <c r="D157" s="55" t="n"/>
      <c r="F157" s="49" t="n"/>
      <c r="G157" s="56">
        <f>IFERROR(D157/F157,"")</f>
        <v/>
      </c>
      <c r="H157" s="57">
        <f>IFERROR(G157/Дашборд!$B$14,"")</f>
        <v/>
      </c>
    </row>
    <row r="158" ht="15" customHeight="1" s="28">
      <c r="A158" s="51" t="n"/>
      <c r="D158" s="55" t="n"/>
      <c r="F158" s="49" t="n"/>
      <c r="G158" s="56">
        <f>IFERROR(D158/F158,"")</f>
        <v/>
      </c>
      <c r="H158" s="57">
        <f>IFERROR(G158/Дашборд!$B$14,"")</f>
        <v/>
      </c>
    </row>
    <row r="159" ht="15" customHeight="1" s="28">
      <c r="A159" s="51" t="n"/>
      <c r="D159" s="55" t="n"/>
      <c r="F159" s="49" t="n"/>
      <c r="G159" s="56">
        <f>IFERROR(D159/F159,"")</f>
        <v/>
      </c>
      <c r="H159" s="57">
        <f>IFERROR(G159/Дашборд!$B$14,"")</f>
        <v/>
      </c>
    </row>
    <row r="160" ht="15" customHeight="1" s="28">
      <c r="A160" s="51" t="n"/>
      <c r="D160" s="55" t="n"/>
      <c r="F160" s="49" t="n"/>
      <c r="G160" s="56">
        <f>IFERROR(D160/F160,"")</f>
        <v/>
      </c>
      <c r="H160" s="57">
        <f>IFERROR(G160/Дашборд!$B$14,"")</f>
        <v/>
      </c>
    </row>
    <row r="161" ht="15" customHeight="1" s="28">
      <c r="A161" s="51" t="n"/>
      <c r="D161" s="55" t="n"/>
      <c r="F161" s="49" t="n"/>
      <c r="G161" s="56">
        <f>IFERROR(D161/F161,"")</f>
        <v/>
      </c>
      <c r="H161" s="57">
        <f>IFERROR(G161/Дашборд!$B$14,"")</f>
        <v/>
      </c>
    </row>
    <row r="162" ht="15" customHeight="1" s="28">
      <c r="A162" s="51" t="n"/>
      <c r="D162" s="55" t="n"/>
      <c r="F162" s="49" t="n"/>
      <c r="G162" s="56">
        <f>IFERROR(D162/F162,"")</f>
        <v/>
      </c>
      <c r="H162" s="57">
        <f>IFERROR(G162/Дашборд!$B$14,"")</f>
        <v/>
      </c>
    </row>
    <row r="163" ht="15" customHeight="1" s="28">
      <c r="A163" s="51" t="n"/>
      <c r="D163" s="55" t="n"/>
      <c r="F163" s="49" t="n"/>
      <c r="G163" s="56">
        <f>IFERROR(D163/F163,"")</f>
        <v/>
      </c>
      <c r="H163" s="57">
        <f>IFERROR(G163/Дашборд!$B$14,"")</f>
        <v/>
      </c>
    </row>
    <row r="164" ht="15" customHeight="1" s="28">
      <c r="A164" s="51" t="n"/>
      <c r="D164" s="55" t="n"/>
      <c r="F164" s="49" t="n"/>
      <c r="G164" s="56">
        <f>IFERROR(D164/F164,"")</f>
        <v/>
      </c>
      <c r="H164" s="57">
        <f>IFERROR(G164/Дашборд!$B$14,"")</f>
        <v/>
      </c>
    </row>
    <row r="165" ht="15" customHeight="1" s="28">
      <c r="A165" s="51" t="n"/>
      <c r="D165" s="55" t="n"/>
      <c r="F165" s="49" t="n"/>
      <c r="G165" s="56">
        <f>IFERROR(D165/F165,"")</f>
        <v/>
      </c>
      <c r="H165" s="57">
        <f>IFERROR(G165/Дашборд!$B$14,"")</f>
        <v/>
      </c>
    </row>
    <row r="166" ht="15" customHeight="1" s="28">
      <c r="A166" s="51" t="n"/>
      <c r="D166" s="55" t="n"/>
      <c r="F166" s="49" t="n"/>
      <c r="G166" s="56">
        <f>IFERROR(D166/F166,"")</f>
        <v/>
      </c>
      <c r="H166" s="57">
        <f>IFERROR(G166/Дашборд!$B$14,"")</f>
        <v/>
      </c>
    </row>
    <row r="167" ht="15" customHeight="1" s="28">
      <c r="A167" s="51" t="n"/>
      <c r="D167" s="55" t="n"/>
      <c r="F167" s="49" t="n"/>
      <c r="G167" s="56">
        <f>IFERROR(D167/F167,"")</f>
        <v/>
      </c>
      <c r="H167" s="57">
        <f>IFERROR(G167/Дашборд!$B$14,"")</f>
        <v/>
      </c>
    </row>
    <row r="168" ht="15" customHeight="1" s="28">
      <c r="A168" s="51" t="n"/>
      <c r="D168" s="55" t="n"/>
      <c r="F168" s="49" t="n"/>
      <c r="G168" s="56">
        <f>IFERROR(D168/F168,"")</f>
        <v/>
      </c>
      <c r="H168" s="57">
        <f>IFERROR(G168/Дашборд!$B$14,"")</f>
        <v/>
      </c>
    </row>
    <row r="169" ht="15" customHeight="1" s="28">
      <c r="A169" s="51" t="n"/>
      <c r="D169" s="55" t="n"/>
      <c r="F169" s="49" t="n"/>
      <c r="G169" s="56">
        <f>IFERROR(D169/F169,"")</f>
        <v/>
      </c>
      <c r="H169" s="57">
        <f>IFERROR(G169/Дашборд!$B$14,"")</f>
        <v/>
      </c>
    </row>
    <row r="170" ht="15" customHeight="1" s="28">
      <c r="A170" s="51" t="n"/>
      <c r="D170" s="55" t="n"/>
      <c r="F170" s="49" t="n"/>
      <c r="G170" s="56">
        <f>IFERROR(D170/F170,"")</f>
        <v/>
      </c>
      <c r="H170" s="57">
        <f>IFERROR(G170/Дашборд!$B$14,"")</f>
        <v/>
      </c>
    </row>
    <row r="171" ht="15" customHeight="1" s="28">
      <c r="A171" s="51" t="n"/>
      <c r="D171" s="55" t="n"/>
      <c r="F171" s="49" t="n"/>
      <c r="G171" s="56">
        <f>IFERROR(D171/F171,"")</f>
        <v/>
      </c>
      <c r="H171" s="57">
        <f>IFERROR(G171/Дашборд!$B$14,"")</f>
        <v/>
      </c>
    </row>
    <row r="172" ht="15" customHeight="1" s="28">
      <c r="A172" s="51" t="n"/>
      <c r="D172" s="55" t="n"/>
      <c r="F172" s="49" t="n"/>
      <c r="G172" s="56">
        <f>IFERROR(D172/F172,"")</f>
        <v/>
      </c>
      <c r="H172" s="57">
        <f>IFERROR(G172/Дашборд!$B$14,"")</f>
        <v/>
      </c>
    </row>
    <row r="173" ht="15" customHeight="1" s="28">
      <c r="A173" s="51" t="n"/>
      <c r="D173" s="55" t="n"/>
      <c r="F173" s="49" t="n"/>
      <c r="G173" s="56">
        <f>IFERROR(D173/F173,"")</f>
        <v/>
      </c>
      <c r="H173" s="57">
        <f>IFERROR(G173/Дашборд!$B$14,"")</f>
        <v/>
      </c>
    </row>
    <row r="174" ht="15" customHeight="1" s="28">
      <c r="A174" s="51" t="n"/>
      <c r="D174" s="55" t="n"/>
      <c r="F174" s="49" t="n"/>
      <c r="G174" s="56">
        <f>IFERROR(D174/F174,"")</f>
        <v/>
      </c>
      <c r="H174" s="57">
        <f>IFERROR(G174/Дашборд!$B$14,"")</f>
        <v/>
      </c>
    </row>
    <row r="175" ht="15" customHeight="1" s="28">
      <c r="A175" s="51" t="n"/>
      <c r="D175" s="55" t="n"/>
      <c r="F175" s="49" t="n"/>
      <c r="G175" s="56">
        <f>IFERROR(D175/F175,"")</f>
        <v/>
      </c>
      <c r="H175" s="57">
        <f>IFERROR(G175/Дашборд!$B$14,"")</f>
        <v/>
      </c>
    </row>
    <row r="176" ht="15" customHeight="1" s="28">
      <c r="A176" s="51" t="n"/>
      <c r="D176" s="55" t="n"/>
      <c r="F176" s="49" t="n"/>
      <c r="G176" s="56">
        <f>IFERROR(D176/F176,"")</f>
        <v/>
      </c>
      <c r="H176" s="57">
        <f>IFERROR(G176/Дашборд!$B$14,"")</f>
        <v/>
      </c>
    </row>
    <row r="177" ht="15" customHeight="1" s="28">
      <c r="A177" s="51" t="n"/>
      <c r="D177" s="55" t="n"/>
      <c r="F177" s="49" t="n"/>
      <c r="G177" s="56">
        <f>IFERROR(D177/F177,"")</f>
        <v/>
      </c>
      <c r="H177" s="57">
        <f>IFERROR(G177/Дашборд!$B$14,"")</f>
        <v/>
      </c>
    </row>
    <row r="178" ht="15" customHeight="1" s="28">
      <c r="A178" s="51" t="n"/>
      <c r="D178" s="55" t="n"/>
      <c r="F178" s="49" t="n"/>
      <c r="G178" s="56">
        <f>IFERROR(D178/F178,"")</f>
        <v/>
      </c>
      <c r="H178" s="57">
        <f>IFERROR(G178/Дашборд!$B$14,"")</f>
        <v/>
      </c>
    </row>
    <row r="179" ht="15" customHeight="1" s="28">
      <c r="A179" s="51" t="n"/>
      <c r="D179" s="55" t="n"/>
      <c r="F179" s="49" t="n"/>
      <c r="G179" s="56">
        <f>IFERROR(D179/F179,"")</f>
        <v/>
      </c>
      <c r="H179" s="57">
        <f>IFERROR(G179/Дашборд!$B$14,"")</f>
        <v/>
      </c>
    </row>
    <row r="180" ht="15" customHeight="1" s="28">
      <c r="A180" s="51" t="n"/>
      <c r="D180" s="55" t="n"/>
      <c r="F180" s="49" t="n"/>
      <c r="G180" s="56">
        <f>IFERROR(D180/F180,"")</f>
        <v/>
      </c>
      <c r="H180" s="57">
        <f>IFERROR(G180/Дашборд!$B$14,"")</f>
        <v/>
      </c>
    </row>
    <row r="181" ht="15" customHeight="1" s="28">
      <c r="A181" s="51" t="n"/>
      <c r="D181" s="55" t="n"/>
      <c r="F181" s="49" t="n"/>
      <c r="G181" s="56">
        <f>IFERROR(D181/F181,"")</f>
        <v/>
      </c>
      <c r="H181" s="57">
        <f>IFERROR(G181/Дашборд!$B$14,"")</f>
        <v/>
      </c>
    </row>
    <row r="182" ht="15" customHeight="1" s="28">
      <c r="A182" s="51" t="n"/>
      <c r="D182" s="55" t="n"/>
      <c r="F182" s="49" t="n"/>
      <c r="G182" s="56">
        <f>IFERROR(D182/F182,"")</f>
        <v/>
      </c>
      <c r="H182" s="57">
        <f>IFERROR(G182/Дашборд!$B$14,"")</f>
        <v/>
      </c>
    </row>
    <row r="183" ht="15" customHeight="1" s="28">
      <c r="A183" s="51" t="n"/>
      <c r="D183" s="55" t="n"/>
      <c r="F183" s="49" t="n"/>
      <c r="G183" s="56">
        <f>IFERROR(D183/F183,"")</f>
        <v/>
      </c>
      <c r="H183" s="57">
        <f>IFERROR(G183/Дашборд!$B$14,"")</f>
        <v/>
      </c>
    </row>
    <row r="184" ht="15" customHeight="1" s="28">
      <c r="A184" s="51" t="n"/>
      <c r="D184" s="55" t="n"/>
      <c r="F184" s="49" t="n"/>
      <c r="G184" s="56">
        <f>IFERROR(D184/F184,"")</f>
        <v/>
      </c>
      <c r="H184" s="57">
        <f>IFERROR(G184/Дашборд!$B$14,"")</f>
        <v/>
      </c>
    </row>
    <row r="185" ht="15" customHeight="1" s="28">
      <c r="A185" s="51" t="n"/>
      <c r="D185" s="55" t="n"/>
      <c r="F185" s="49" t="n"/>
      <c r="G185" s="56">
        <f>IFERROR(D185/F185,"")</f>
        <v/>
      </c>
      <c r="H185" s="57">
        <f>IFERROR(G185/Дашборд!$B$14,"")</f>
        <v/>
      </c>
    </row>
    <row r="186" ht="15" customHeight="1" s="28">
      <c r="A186" s="51" t="n"/>
      <c r="D186" s="55" t="n"/>
      <c r="F186" s="49" t="n"/>
      <c r="G186" s="56">
        <f>IFERROR(D186/F186,"")</f>
        <v/>
      </c>
      <c r="H186" s="57">
        <f>IFERROR(G186/Дашборд!$B$14,"")</f>
        <v/>
      </c>
    </row>
    <row r="187" ht="15" customHeight="1" s="28">
      <c r="A187" s="51" t="n"/>
      <c r="D187" s="55" t="n"/>
      <c r="F187" s="49" t="n"/>
      <c r="G187" s="56">
        <f>IFERROR(D187/F187,"")</f>
        <v/>
      </c>
      <c r="H187" s="57">
        <f>IFERROR(G187/Дашборд!$B$14,"")</f>
        <v/>
      </c>
    </row>
    <row r="188" ht="15" customHeight="1" s="28">
      <c r="A188" s="51" t="n"/>
      <c r="D188" s="55" t="n"/>
      <c r="F188" s="49" t="n"/>
      <c r="G188" s="56">
        <f>IFERROR(D188/F188,"")</f>
        <v/>
      </c>
      <c r="H188" s="57">
        <f>IFERROR(G188/Дашборд!$B$14,"")</f>
        <v/>
      </c>
    </row>
    <row r="189" ht="15" customHeight="1" s="28">
      <c r="A189" s="51" t="n"/>
      <c r="D189" s="55" t="n"/>
      <c r="F189" s="49" t="n"/>
      <c r="G189" s="56">
        <f>IFERROR(D189/F189,"")</f>
        <v/>
      </c>
      <c r="H189" s="57">
        <f>IFERROR(G189/Дашборд!$B$14,"")</f>
        <v/>
      </c>
    </row>
    <row r="190" ht="15" customHeight="1" s="28">
      <c r="A190" s="51" t="n"/>
      <c r="D190" s="55" t="n"/>
      <c r="F190" s="49" t="n"/>
      <c r="G190" s="56">
        <f>IFERROR(D190/F190,"")</f>
        <v/>
      </c>
      <c r="H190" s="57">
        <f>IFERROR(G190/Дашборд!$B$14,"")</f>
        <v/>
      </c>
    </row>
    <row r="191" ht="15" customHeight="1" s="28">
      <c r="A191" s="51" t="n"/>
      <c r="D191" s="55" t="n"/>
      <c r="F191" s="49" t="n"/>
      <c r="G191" s="56">
        <f>IFERROR(D191/F191,"")</f>
        <v/>
      </c>
      <c r="H191" s="57">
        <f>IFERROR(G191/Дашборд!$B$14,"")</f>
        <v/>
      </c>
    </row>
    <row r="192" ht="15" customHeight="1" s="28">
      <c r="A192" s="51" t="n"/>
      <c r="D192" s="55" t="n"/>
      <c r="F192" s="49" t="n"/>
      <c r="G192" s="56">
        <f>IFERROR(D192/F192,"")</f>
        <v/>
      </c>
      <c r="H192" s="57">
        <f>IFERROR(G192/Дашборд!$B$14,"")</f>
        <v/>
      </c>
    </row>
    <row r="193" ht="15" customHeight="1" s="28">
      <c r="A193" s="51" t="n"/>
      <c r="D193" s="55" t="n"/>
      <c r="F193" s="49" t="n"/>
      <c r="G193" s="56">
        <f>IFERROR(D193/F193,"")</f>
        <v/>
      </c>
      <c r="H193" s="57">
        <f>IFERROR(G193/Дашборд!$B$14,"")</f>
        <v/>
      </c>
    </row>
    <row r="194" ht="15" customHeight="1" s="28">
      <c r="A194" s="51" t="n"/>
      <c r="D194" s="55" t="n"/>
      <c r="F194" s="49" t="n"/>
      <c r="G194" s="56">
        <f>IFERROR(D194/F194,"")</f>
        <v/>
      </c>
      <c r="H194" s="57">
        <f>IFERROR(G194/Дашборд!$B$14,"")</f>
        <v/>
      </c>
    </row>
    <row r="195" ht="15" customHeight="1" s="28">
      <c r="A195" s="51" t="n"/>
      <c r="D195" s="55" t="n"/>
      <c r="F195" s="49" t="n"/>
      <c r="G195" s="56">
        <f>IFERROR(D195/F195,"")</f>
        <v/>
      </c>
      <c r="H195" s="57">
        <f>IFERROR(G195/Дашборд!$B$14,"")</f>
        <v/>
      </c>
    </row>
    <row r="196" ht="15" customHeight="1" s="28">
      <c r="A196" s="51" t="n"/>
      <c r="D196" s="55" t="n"/>
      <c r="F196" s="49" t="n"/>
      <c r="G196" s="56">
        <f>IFERROR(D196/F196,"")</f>
        <v/>
      </c>
      <c r="H196" s="57">
        <f>IFERROR(G196/Дашборд!$B$14,"")</f>
        <v/>
      </c>
    </row>
    <row r="197" ht="15" customHeight="1" s="28">
      <c r="A197" s="51" t="n"/>
      <c r="D197" s="55" t="n"/>
      <c r="F197" s="49" t="n"/>
      <c r="G197" s="56">
        <f>IFERROR(D197/F197,"")</f>
        <v/>
      </c>
      <c r="H197" s="57">
        <f>IFERROR(G197/Дашборд!$B$14,"")</f>
        <v/>
      </c>
    </row>
    <row r="198" ht="15" customHeight="1" s="28">
      <c r="A198" s="51" t="n"/>
      <c r="D198" s="55" t="n"/>
      <c r="F198" s="49" t="n"/>
      <c r="G198" s="56">
        <f>IFERROR(D198/F198,"")</f>
        <v/>
      </c>
      <c r="H198" s="57">
        <f>IFERROR(G198/Дашборд!$B$14,"")</f>
        <v/>
      </c>
    </row>
    <row r="199" ht="15" customHeight="1" s="28">
      <c r="A199" s="51" t="n"/>
      <c r="D199" s="55" t="n"/>
      <c r="F199" s="49" t="n"/>
      <c r="G199" s="56">
        <f>IFERROR(D199/F199,"")</f>
        <v/>
      </c>
      <c r="H199" s="57">
        <f>IFERROR(G199/Дашборд!$B$14,"")</f>
        <v/>
      </c>
    </row>
    <row r="200" ht="15" customHeight="1" s="28">
      <c r="A200" s="51" t="n"/>
      <c r="D200" s="55" t="n"/>
      <c r="F200" s="49" t="n"/>
      <c r="G200" s="56">
        <f>IFERROR(D200/F200,"")</f>
        <v/>
      </c>
      <c r="H200" s="57">
        <f>IFERROR(G200/Дашборд!$B$14,"")</f>
        <v/>
      </c>
    </row>
    <row r="201" ht="15" customHeight="1" s="28">
      <c r="A201" s="51" t="n"/>
      <c r="D201" s="55" t="n"/>
      <c r="F201" s="49" t="n"/>
      <c r="G201" s="56">
        <f>IFERROR(D201/F201,"")</f>
        <v/>
      </c>
      <c r="H201" s="57">
        <f>IFERROR(G201/Дашборд!$B$14,"")</f>
        <v/>
      </c>
    </row>
    <row r="202" ht="15" customHeight="1" s="28">
      <c r="A202" s="51" t="n"/>
      <c r="D202" s="55" t="n"/>
      <c r="F202" s="49" t="n"/>
      <c r="G202" s="56">
        <f>IFERROR(D202/F202,"")</f>
        <v/>
      </c>
      <c r="H202" s="57">
        <f>IFERROR(G202/Дашборд!$B$14,"")</f>
        <v/>
      </c>
    </row>
    <row r="203" ht="15" customHeight="1" s="28">
      <c r="A203" s="51" t="n"/>
      <c r="D203" s="55" t="n"/>
      <c r="F203" s="49" t="n"/>
      <c r="G203" s="56">
        <f>IFERROR(D203/F203,"")</f>
        <v/>
      </c>
      <c r="H203" s="57">
        <f>IFERROR(G203/Дашборд!$B$14,"")</f>
        <v/>
      </c>
    </row>
    <row r="204" ht="15" customHeight="1" s="28">
      <c r="A204" s="51" t="n"/>
      <c r="D204" s="55" t="n"/>
      <c r="F204" s="49" t="n"/>
      <c r="G204" s="56">
        <f>IFERROR(D204/F204,"")</f>
        <v/>
      </c>
      <c r="H204" s="57">
        <f>IFERROR(G204/Дашборд!$B$14,"")</f>
        <v/>
      </c>
    </row>
    <row r="206" ht="15" customHeight="1" s="28">
      <c r="A206" s="30" t="inlineStr">
        <is>
          <t>Окупаемость = цена подписчика / ARPU в месяц (лист Дашборд, ячейка B14). Пока в Дашборд нет данных о доходе, колонка будет пустой/0 — это ожидаемо на старте.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27" min="1" max="1"/>
    <col width="20" customWidth="1" style="27" min="2" max="2"/>
    <col width="16" customWidth="1" style="27" min="3" max="3"/>
    <col width="14" customWidth="1" style="27" min="4" max="4"/>
    <col width="10" customWidth="1" style="27" min="5" max="5"/>
    <col width="9" customWidth="1" style="27" min="6" max="6"/>
    <col width="14" customWidth="1" style="27" min="7" max="7"/>
    <col width="12" customWidth="1" style="27" min="8" max="8"/>
    <col width="16" customWidth="1" style="27" min="9" max="10"/>
    <col width="30" customWidth="1" style="27" min="11" max="11"/>
  </cols>
  <sheetData>
    <row r="1" ht="17.35" customHeight="1" s="28">
      <c r="A1" s="29" t="inlineStr">
        <is>
          <t>Продажи рекламы (в своём канале)</t>
        </is>
      </c>
    </row>
    <row r="2" ht="15" customHeight="1" s="28">
      <c r="A2" s="30" t="inlineStr">
        <is>
          <t>Статус: Забронировано / Опубликовано / Снято / Оплачено / Отменено</t>
        </is>
      </c>
    </row>
    <row r="4" ht="26.85" customHeight="1" s="28">
      <c r="A4" s="39" t="inlineStr">
        <is>
          <t>Дата размещения</t>
        </is>
      </c>
      <c r="B4" s="39" t="inlineStr">
        <is>
          <t>Рекламодатель</t>
        </is>
      </c>
      <c r="C4" s="39" t="inlineStr">
        <is>
          <t>Контакт</t>
        </is>
      </c>
      <c r="D4" s="39" t="inlineStr">
        <is>
          <t>Формат</t>
        </is>
      </c>
      <c r="E4" s="39" t="inlineStr">
        <is>
          <t>Цена</t>
        </is>
      </c>
      <c r="F4" s="39" t="inlineStr">
        <is>
          <t>Валюта</t>
        </is>
      </c>
      <c r="G4" s="39" t="inlineStr">
        <is>
          <t>Просмотры факт</t>
        </is>
      </c>
      <c r="H4" s="39" t="inlineStr">
        <is>
          <t>CPM факт</t>
        </is>
      </c>
      <c r="I4" s="39" t="inlineStr">
        <is>
          <t>ERID</t>
        </is>
      </c>
      <c r="J4" s="39" t="inlineStr">
        <is>
          <t>Статус</t>
        </is>
      </c>
      <c r="K4" s="39" t="inlineStr">
        <is>
          <t>Комментарий</t>
        </is>
      </c>
    </row>
    <row r="5" ht="15" customHeight="1" s="28">
      <c r="A5" s="40" t="n">
        <v>46288</v>
      </c>
      <c r="B5" s="43" t="inlineStr">
        <is>
          <t>Acme Software</t>
        </is>
      </c>
      <c r="C5" s="43" t="inlineStr">
        <is>
          <t>@acme_manager</t>
        </is>
      </c>
      <c r="D5" s="43" t="inlineStr">
        <is>
          <t>Пост 24ч</t>
        </is>
      </c>
      <c r="E5" s="52" t="n">
        <v>150</v>
      </c>
      <c r="F5" s="43" t="inlineStr">
        <is>
          <t>USD</t>
        </is>
      </c>
      <c r="G5" s="41" t="n"/>
      <c r="H5" s="53">
        <f>IFERROR(E5/G5*1000,"")</f>
        <v/>
      </c>
      <c r="I5" s="43" t="inlineStr">
        <is>
          <t>2Vtzqv...</t>
        </is>
      </c>
      <c r="J5" s="43" t="inlineStr">
        <is>
          <t>Забронировано</t>
        </is>
      </c>
      <c r="K5" s="43" t="inlineStr">
        <is>
          <t>пример — можно удалить</t>
        </is>
      </c>
    </row>
    <row r="6" ht="15" customHeight="1" s="28">
      <c r="A6" s="51" t="n"/>
      <c r="E6" s="55" t="n"/>
      <c r="G6" s="49" t="n"/>
      <c r="H6" s="56">
        <f>IFERROR(E6/G6*1000,"")</f>
        <v/>
      </c>
    </row>
    <row r="7" ht="15" customHeight="1" s="28">
      <c r="A7" s="51" t="n"/>
      <c r="E7" s="55" t="n"/>
      <c r="G7" s="49" t="n"/>
      <c r="H7" s="56">
        <f>IFERROR(E7/G7*1000,"")</f>
        <v/>
      </c>
    </row>
    <row r="8" ht="15" customHeight="1" s="28">
      <c r="A8" s="51" t="n"/>
      <c r="E8" s="55" t="n"/>
      <c r="G8" s="49" t="n"/>
      <c r="H8" s="56">
        <f>IFERROR(E8/G8*1000,"")</f>
        <v/>
      </c>
    </row>
    <row r="9" ht="15" customHeight="1" s="28">
      <c r="A9" s="51" t="n"/>
      <c r="E9" s="55" t="n"/>
      <c r="G9" s="49" t="n"/>
      <c r="H9" s="56">
        <f>IFERROR(E9/G9*1000,"")</f>
        <v/>
      </c>
    </row>
    <row r="10" ht="15" customHeight="1" s="28">
      <c r="A10" s="51" t="n"/>
      <c r="E10" s="55" t="n"/>
      <c r="G10" s="49" t="n"/>
      <c r="H10" s="56">
        <f>IFERROR(E10/G10*1000,"")</f>
        <v/>
      </c>
    </row>
    <row r="11" ht="15" customHeight="1" s="28">
      <c r="A11" s="51" t="n"/>
      <c r="E11" s="55" t="n"/>
      <c r="G11" s="49" t="n"/>
      <c r="H11" s="56">
        <f>IFERROR(E11/G11*1000,"")</f>
        <v/>
      </c>
    </row>
    <row r="12" ht="15" customHeight="1" s="28">
      <c r="A12" s="51" t="n"/>
      <c r="E12" s="55" t="n"/>
      <c r="G12" s="49" t="n"/>
      <c r="H12" s="56">
        <f>IFERROR(E12/G12*1000,"")</f>
        <v/>
      </c>
    </row>
    <row r="13" ht="15" customHeight="1" s="28">
      <c r="A13" s="51" t="n"/>
      <c r="E13" s="55" t="n"/>
      <c r="G13" s="49" t="n"/>
      <c r="H13" s="56">
        <f>IFERROR(E13/G13*1000,"")</f>
        <v/>
      </c>
    </row>
    <row r="14" ht="15" customHeight="1" s="28">
      <c r="A14" s="51" t="n"/>
      <c r="E14" s="55" t="n"/>
      <c r="G14" s="49" t="n"/>
      <c r="H14" s="56">
        <f>IFERROR(E14/G14*1000,"")</f>
        <v/>
      </c>
    </row>
    <row r="15" ht="15" customHeight="1" s="28">
      <c r="A15" s="51" t="n"/>
      <c r="E15" s="55" t="n"/>
      <c r="G15" s="49" t="n"/>
      <c r="H15" s="56">
        <f>IFERROR(E15/G15*1000,"")</f>
        <v/>
      </c>
    </row>
    <row r="16" ht="15" customHeight="1" s="28">
      <c r="A16" s="51" t="n"/>
      <c r="E16" s="55" t="n"/>
      <c r="G16" s="49" t="n"/>
      <c r="H16" s="56">
        <f>IFERROR(E16/G16*1000,"")</f>
        <v/>
      </c>
    </row>
    <row r="17" ht="15" customHeight="1" s="28">
      <c r="A17" s="51" t="n"/>
      <c r="E17" s="55" t="n"/>
      <c r="G17" s="49" t="n"/>
      <c r="H17" s="56">
        <f>IFERROR(E17/G17*1000,"")</f>
        <v/>
      </c>
    </row>
    <row r="18" ht="15" customHeight="1" s="28">
      <c r="A18" s="51" t="n"/>
      <c r="E18" s="55" t="n"/>
      <c r="G18" s="49" t="n"/>
      <c r="H18" s="56">
        <f>IFERROR(E18/G18*1000,"")</f>
        <v/>
      </c>
    </row>
    <row r="19" ht="15" customHeight="1" s="28">
      <c r="A19" s="51" t="n"/>
      <c r="E19" s="55" t="n"/>
      <c r="G19" s="49" t="n"/>
      <c r="H19" s="56">
        <f>IFERROR(E19/G19*1000,"")</f>
        <v/>
      </c>
    </row>
    <row r="20" ht="15" customHeight="1" s="28">
      <c r="A20" s="51" t="n"/>
      <c r="E20" s="55" t="n"/>
      <c r="G20" s="49" t="n"/>
      <c r="H20" s="56">
        <f>IFERROR(E20/G20*1000,"")</f>
        <v/>
      </c>
    </row>
    <row r="21" ht="15" customHeight="1" s="28">
      <c r="A21" s="51" t="n"/>
      <c r="E21" s="55" t="n"/>
      <c r="G21" s="49" t="n"/>
      <c r="H21" s="56">
        <f>IFERROR(E21/G21*1000,"")</f>
        <v/>
      </c>
    </row>
    <row r="22" ht="15" customHeight="1" s="28">
      <c r="A22" s="51" t="n"/>
      <c r="E22" s="55" t="n"/>
      <c r="G22" s="49" t="n"/>
      <c r="H22" s="56">
        <f>IFERROR(E22/G22*1000,"")</f>
        <v/>
      </c>
    </row>
    <row r="23" ht="15" customHeight="1" s="28">
      <c r="A23" s="51" t="n"/>
      <c r="E23" s="55" t="n"/>
      <c r="G23" s="49" t="n"/>
      <c r="H23" s="56">
        <f>IFERROR(E23/G23*1000,"")</f>
        <v/>
      </c>
    </row>
    <row r="24" ht="15" customHeight="1" s="28">
      <c r="A24" s="51" t="n"/>
      <c r="E24" s="55" t="n"/>
      <c r="G24" s="49" t="n"/>
      <c r="H24" s="56">
        <f>IFERROR(E24/G24*1000,"")</f>
        <v/>
      </c>
    </row>
    <row r="25" ht="15" customHeight="1" s="28">
      <c r="A25" s="51" t="n"/>
      <c r="E25" s="55" t="n"/>
      <c r="G25" s="49" t="n"/>
      <c r="H25" s="56">
        <f>IFERROR(E25/G25*1000,"")</f>
        <v/>
      </c>
    </row>
    <row r="26" ht="15" customHeight="1" s="28">
      <c r="A26" s="51" t="n"/>
      <c r="E26" s="55" t="n"/>
      <c r="G26" s="49" t="n"/>
      <c r="H26" s="56">
        <f>IFERROR(E26/G26*1000,"")</f>
        <v/>
      </c>
    </row>
    <row r="27" ht="15" customHeight="1" s="28">
      <c r="A27" s="51" t="n"/>
      <c r="E27" s="55" t="n"/>
      <c r="G27" s="49" t="n"/>
      <c r="H27" s="56">
        <f>IFERROR(E27/G27*1000,"")</f>
        <v/>
      </c>
    </row>
    <row r="28" ht="15" customHeight="1" s="28">
      <c r="A28" s="51" t="n"/>
      <c r="E28" s="55" t="n"/>
      <c r="G28" s="49" t="n"/>
      <c r="H28" s="56">
        <f>IFERROR(E28/G28*1000,"")</f>
        <v/>
      </c>
    </row>
    <row r="29" ht="15" customHeight="1" s="28">
      <c r="A29" s="51" t="n"/>
      <c r="E29" s="55" t="n"/>
      <c r="G29" s="49" t="n"/>
      <c r="H29" s="56">
        <f>IFERROR(E29/G29*1000,"")</f>
        <v/>
      </c>
    </row>
    <row r="30" ht="15" customHeight="1" s="28">
      <c r="A30" s="51" t="n"/>
      <c r="E30" s="55" t="n"/>
      <c r="G30" s="49" t="n"/>
      <c r="H30" s="56">
        <f>IFERROR(E30/G30*1000,"")</f>
        <v/>
      </c>
    </row>
    <row r="31" ht="15" customHeight="1" s="28">
      <c r="A31" s="51" t="n"/>
      <c r="E31" s="55" t="n"/>
      <c r="G31" s="49" t="n"/>
      <c r="H31" s="56">
        <f>IFERROR(E31/G31*1000,"")</f>
        <v/>
      </c>
    </row>
    <row r="32" ht="15" customHeight="1" s="28">
      <c r="A32" s="51" t="n"/>
      <c r="E32" s="55" t="n"/>
      <c r="G32" s="49" t="n"/>
      <c r="H32" s="56">
        <f>IFERROR(E32/G32*1000,"")</f>
        <v/>
      </c>
    </row>
    <row r="33" ht="15" customHeight="1" s="28">
      <c r="A33" s="51" t="n"/>
      <c r="E33" s="55" t="n"/>
      <c r="G33" s="49" t="n"/>
      <c r="H33" s="56">
        <f>IFERROR(E33/G33*1000,"")</f>
        <v/>
      </c>
    </row>
    <row r="34" ht="15" customHeight="1" s="28">
      <c r="A34" s="51" t="n"/>
      <c r="E34" s="55" t="n"/>
      <c r="G34" s="49" t="n"/>
      <c r="H34" s="56">
        <f>IFERROR(E34/G34*1000,"")</f>
        <v/>
      </c>
    </row>
    <row r="35" ht="15" customHeight="1" s="28">
      <c r="A35" s="51" t="n"/>
      <c r="E35" s="55" t="n"/>
      <c r="G35" s="49" t="n"/>
      <c r="H35" s="56">
        <f>IFERROR(E35/G35*1000,"")</f>
        <v/>
      </c>
    </row>
    <row r="36" ht="15" customHeight="1" s="28">
      <c r="A36" s="51" t="n"/>
      <c r="E36" s="55" t="n"/>
      <c r="G36" s="49" t="n"/>
      <c r="H36" s="56">
        <f>IFERROR(E36/G36*1000,"")</f>
        <v/>
      </c>
    </row>
    <row r="37" ht="15" customHeight="1" s="28">
      <c r="A37" s="51" t="n"/>
      <c r="E37" s="55" t="n"/>
      <c r="G37" s="49" t="n"/>
      <c r="H37" s="56">
        <f>IFERROR(E37/G37*1000,"")</f>
        <v/>
      </c>
    </row>
    <row r="38" ht="15" customHeight="1" s="28">
      <c r="A38" s="51" t="n"/>
      <c r="E38" s="55" t="n"/>
      <c r="G38" s="49" t="n"/>
      <c r="H38" s="56">
        <f>IFERROR(E38/G38*1000,"")</f>
        <v/>
      </c>
    </row>
    <row r="39" ht="15" customHeight="1" s="28">
      <c r="A39" s="51" t="n"/>
      <c r="E39" s="55" t="n"/>
      <c r="G39" s="49" t="n"/>
      <c r="H39" s="56">
        <f>IFERROR(E39/G39*1000,"")</f>
        <v/>
      </c>
    </row>
    <row r="40" ht="15" customHeight="1" s="28">
      <c r="A40" s="51" t="n"/>
      <c r="E40" s="55" t="n"/>
      <c r="G40" s="49" t="n"/>
      <c r="H40" s="56">
        <f>IFERROR(E40/G40*1000,"")</f>
        <v/>
      </c>
    </row>
    <row r="41" ht="15" customHeight="1" s="28">
      <c r="A41" s="51" t="n"/>
      <c r="E41" s="55" t="n"/>
      <c r="G41" s="49" t="n"/>
      <c r="H41" s="56">
        <f>IFERROR(E41/G41*1000,"")</f>
        <v/>
      </c>
    </row>
    <row r="42" ht="15" customHeight="1" s="28">
      <c r="A42" s="51" t="n"/>
      <c r="E42" s="55" t="n"/>
      <c r="G42" s="49" t="n"/>
      <c r="H42" s="56">
        <f>IFERROR(E42/G42*1000,"")</f>
        <v/>
      </c>
    </row>
    <row r="43" ht="15" customHeight="1" s="28">
      <c r="A43" s="51" t="n"/>
      <c r="E43" s="55" t="n"/>
      <c r="G43" s="49" t="n"/>
      <c r="H43" s="56">
        <f>IFERROR(E43/G43*1000,"")</f>
        <v/>
      </c>
    </row>
    <row r="44" ht="15" customHeight="1" s="28">
      <c r="A44" s="51" t="n"/>
      <c r="E44" s="55" t="n"/>
      <c r="G44" s="49" t="n"/>
      <c r="H44" s="56">
        <f>IFERROR(E44/G44*1000,"")</f>
        <v/>
      </c>
    </row>
    <row r="45" ht="15" customHeight="1" s="28">
      <c r="A45" s="51" t="n"/>
      <c r="E45" s="55" t="n"/>
      <c r="G45" s="49" t="n"/>
      <c r="H45" s="56">
        <f>IFERROR(E45/G45*1000,"")</f>
        <v/>
      </c>
    </row>
    <row r="46" ht="15" customHeight="1" s="28">
      <c r="A46" s="51" t="n"/>
      <c r="E46" s="55" t="n"/>
      <c r="G46" s="49" t="n"/>
      <c r="H46" s="56">
        <f>IFERROR(E46/G46*1000,"")</f>
        <v/>
      </c>
    </row>
    <row r="47" ht="15" customHeight="1" s="28">
      <c r="A47" s="51" t="n"/>
      <c r="E47" s="55" t="n"/>
      <c r="G47" s="49" t="n"/>
      <c r="H47" s="56">
        <f>IFERROR(E47/G47*1000,"")</f>
        <v/>
      </c>
    </row>
    <row r="48" ht="15" customHeight="1" s="28">
      <c r="A48" s="51" t="n"/>
      <c r="E48" s="55" t="n"/>
      <c r="G48" s="49" t="n"/>
      <c r="H48" s="56">
        <f>IFERROR(E48/G48*1000,"")</f>
        <v/>
      </c>
    </row>
    <row r="49" ht="15" customHeight="1" s="28">
      <c r="A49" s="51" t="n"/>
      <c r="E49" s="55" t="n"/>
      <c r="G49" s="49" t="n"/>
      <c r="H49" s="56">
        <f>IFERROR(E49/G49*1000,"")</f>
        <v/>
      </c>
    </row>
    <row r="50" ht="15" customHeight="1" s="28">
      <c r="A50" s="51" t="n"/>
      <c r="E50" s="55" t="n"/>
      <c r="G50" s="49" t="n"/>
      <c r="H50" s="56">
        <f>IFERROR(E50/G50*1000,"")</f>
        <v/>
      </c>
    </row>
    <row r="51" ht="15" customHeight="1" s="28">
      <c r="A51" s="51" t="n"/>
      <c r="E51" s="55" t="n"/>
      <c r="G51" s="49" t="n"/>
      <c r="H51" s="56">
        <f>IFERROR(E51/G51*1000,"")</f>
        <v/>
      </c>
    </row>
    <row r="52" ht="15" customHeight="1" s="28">
      <c r="A52" s="51" t="n"/>
      <c r="E52" s="55" t="n"/>
      <c r="G52" s="49" t="n"/>
      <c r="H52" s="56">
        <f>IFERROR(E52/G52*1000,"")</f>
        <v/>
      </c>
    </row>
    <row r="53" ht="15" customHeight="1" s="28">
      <c r="A53" s="51" t="n"/>
      <c r="E53" s="55" t="n"/>
      <c r="G53" s="49" t="n"/>
      <c r="H53" s="56">
        <f>IFERROR(E53/G53*1000,"")</f>
        <v/>
      </c>
    </row>
    <row r="54" ht="15" customHeight="1" s="28">
      <c r="A54" s="51" t="n"/>
      <c r="E54" s="55" t="n"/>
      <c r="G54" s="49" t="n"/>
      <c r="H54" s="56">
        <f>IFERROR(E54/G54*1000,"")</f>
        <v/>
      </c>
    </row>
    <row r="55" ht="15" customHeight="1" s="28">
      <c r="A55" s="51" t="n"/>
      <c r="E55" s="55" t="n"/>
      <c r="G55" s="49" t="n"/>
      <c r="H55" s="56">
        <f>IFERROR(E55/G55*1000,"")</f>
        <v/>
      </c>
    </row>
    <row r="56" ht="15" customHeight="1" s="28">
      <c r="A56" s="51" t="n"/>
      <c r="E56" s="55" t="n"/>
      <c r="G56" s="49" t="n"/>
      <c r="H56" s="56">
        <f>IFERROR(E56/G56*1000,"")</f>
        <v/>
      </c>
    </row>
    <row r="57" ht="15" customHeight="1" s="28">
      <c r="A57" s="51" t="n"/>
      <c r="E57" s="55" t="n"/>
      <c r="G57" s="49" t="n"/>
      <c r="H57" s="56">
        <f>IFERROR(E57/G57*1000,"")</f>
        <v/>
      </c>
    </row>
    <row r="58" ht="15" customHeight="1" s="28">
      <c r="A58" s="51" t="n"/>
      <c r="E58" s="55" t="n"/>
      <c r="G58" s="49" t="n"/>
      <c r="H58" s="56">
        <f>IFERROR(E58/G58*1000,"")</f>
        <v/>
      </c>
    </row>
    <row r="59" ht="15" customHeight="1" s="28">
      <c r="A59" s="51" t="n"/>
      <c r="E59" s="55" t="n"/>
      <c r="G59" s="49" t="n"/>
      <c r="H59" s="56">
        <f>IFERROR(E59/G59*1000,"")</f>
        <v/>
      </c>
    </row>
    <row r="60" ht="15" customHeight="1" s="28">
      <c r="A60" s="51" t="n"/>
      <c r="E60" s="55" t="n"/>
      <c r="G60" s="49" t="n"/>
      <c r="H60" s="56">
        <f>IFERROR(E60/G60*1000,"")</f>
        <v/>
      </c>
    </row>
    <row r="61" ht="15" customHeight="1" s="28">
      <c r="A61" s="51" t="n"/>
      <c r="E61" s="55" t="n"/>
      <c r="G61" s="49" t="n"/>
      <c r="H61" s="56">
        <f>IFERROR(E61/G61*1000,"")</f>
        <v/>
      </c>
    </row>
    <row r="62" ht="15" customHeight="1" s="28">
      <c r="A62" s="51" t="n"/>
      <c r="E62" s="55" t="n"/>
      <c r="G62" s="49" t="n"/>
      <c r="H62" s="56">
        <f>IFERROR(E62/G62*1000,"")</f>
        <v/>
      </c>
    </row>
    <row r="63" ht="15" customHeight="1" s="28">
      <c r="A63" s="51" t="n"/>
      <c r="E63" s="55" t="n"/>
      <c r="G63" s="49" t="n"/>
      <c r="H63" s="56">
        <f>IFERROR(E63/G63*1000,"")</f>
        <v/>
      </c>
    </row>
    <row r="64" ht="15" customHeight="1" s="28">
      <c r="A64" s="51" t="n"/>
      <c r="E64" s="55" t="n"/>
      <c r="G64" s="49" t="n"/>
      <c r="H64" s="56">
        <f>IFERROR(E64/G64*1000,"")</f>
        <v/>
      </c>
    </row>
    <row r="65" ht="15" customHeight="1" s="28">
      <c r="A65" s="51" t="n"/>
      <c r="E65" s="55" t="n"/>
      <c r="G65" s="49" t="n"/>
      <c r="H65" s="56">
        <f>IFERROR(E65/G65*1000,"")</f>
        <v/>
      </c>
    </row>
    <row r="66" ht="15" customHeight="1" s="28">
      <c r="A66" s="51" t="n"/>
      <c r="E66" s="55" t="n"/>
      <c r="G66" s="49" t="n"/>
      <c r="H66" s="56">
        <f>IFERROR(E66/G66*1000,"")</f>
        <v/>
      </c>
    </row>
    <row r="67" ht="15" customHeight="1" s="28">
      <c r="A67" s="51" t="n"/>
      <c r="E67" s="55" t="n"/>
      <c r="G67" s="49" t="n"/>
      <c r="H67" s="56">
        <f>IFERROR(E67/G67*1000,"")</f>
        <v/>
      </c>
    </row>
    <row r="68" ht="15" customHeight="1" s="28">
      <c r="A68" s="51" t="n"/>
      <c r="E68" s="55" t="n"/>
      <c r="G68" s="49" t="n"/>
      <c r="H68" s="56">
        <f>IFERROR(E68/G68*1000,"")</f>
        <v/>
      </c>
    </row>
    <row r="69" ht="15" customHeight="1" s="28">
      <c r="A69" s="51" t="n"/>
      <c r="E69" s="55" t="n"/>
      <c r="G69" s="49" t="n"/>
      <c r="H69" s="56">
        <f>IFERROR(E69/G69*1000,"")</f>
        <v/>
      </c>
    </row>
    <row r="70" ht="15" customHeight="1" s="28">
      <c r="A70" s="51" t="n"/>
      <c r="E70" s="55" t="n"/>
      <c r="G70" s="49" t="n"/>
      <c r="H70" s="56">
        <f>IFERROR(E70/G70*1000,"")</f>
        <v/>
      </c>
    </row>
    <row r="71" ht="15" customHeight="1" s="28">
      <c r="A71" s="51" t="n"/>
      <c r="E71" s="55" t="n"/>
      <c r="G71" s="49" t="n"/>
      <c r="H71" s="56">
        <f>IFERROR(E71/G71*1000,"")</f>
        <v/>
      </c>
    </row>
    <row r="72" ht="15" customHeight="1" s="28">
      <c r="A72" s="51" t="n"/>
      <c r="E72" s="55" t="n"/>
      <c r="G72" s="49" t="n"/>
      <c r="H72" s="56">
        <f>IFERROR(E72/G72*1000,"")</f>
        <v/>
      </c>
    </row>
    <row r="73" ht="15" customHeight="1" s="28">
      <c r="A73" s="51" t="n"/>
      <c r="E73" s="55" t="n"/>
      <c r="G73" s="49" t="n"/>
      <c r="H73" s="56">
        <f>IFERROR(E73/G73*1000,"")</f>
        <v/>
      </c>
    </row>
    <row r="74" ht="15" customHeight="1" s="28">
      <c r="A74" s="51" t="n"/>
      <c r="E74" s="55" t="n"/>
      <c r="G74" s="49" t="n"/>
      <c r="H74" s="56">
        <f>IFERROR(E74/G74*1000,"")</f>
        <v/>
      </c>
    </row>
    <row r="75" ht="15" customHeight="1" s="28">
      <c r="A75" s="51" t="n"/>
      <c r="E75" s="55" t="n"/>
      <c r="G75" s="49" t="n"/>
      <c r="H75" s="56">
        <f>IFERROR(E75/G75*1000,"")</f>
        <v/>
      </c>
    </row>
    <row r="76" ht="15" customHeight="1" s="28">
      <c r="A76" s="51" t="n"/>
      <c r="E76" s="55" t="n"/>
      <c r="G76" s="49" t="n"/>
      <c r="H76" s="56">
        <f>IFERROR(E76/G76*1000,"")</f>
        <v/>
      </c>
    </row>
    <row r="77" ht="15" customHeight="1" s="28">
      <c r="A77" s="51" t="n"/>
      <c r="E77" s="55" t="n"/>
      <c r="G77" s="49" t="n"/>
      <c r="H77" s="56">
        <f>IFERROR(E77/G77*1000,"")</f>
        <v/>
      </c>
    </row>
    <row r="78" ht="15" customHeight="1" s="28">
      <c r="A78" s="51" t="n"/>
      <c r="E78" s="55" t="n"/>
      <c r="G78" s="49" t="n"/>
      <c r="H78" s="56">
        <f>IFERROR(E78/G78*1000,"")</f>
        <v/>
      </c>
    </row>
    <row r="79" ht="15" customHeight="1" s="28">
      <c r="A79" s="51" t="n"/>
      <c r="E79" s="55" t="n"/>
      <c r="G79" s="49" t="n"/>
      <c r="H79" s="56">
        <f>IFERROR(E79/G79*1000,"")</f>
        <v/>
      </c>
    </row>
    <row r="80" ht="15" customHeight="1" s="28">
      <c r="A80" s="51" t="n"/>
      <c r="E80" s="55" t="n"/>
      <c r="G80" s="49" t="n"/>
      <c r="H80" s="56">
        <f>IFERROR(E80/G80*1000,"")</f>
        <v/>
      </c>
    </row>
    <row r="81" ht="15" customHeight="1" s="28">
      <c r="A81" s="51" t="n"/>
      <c r="E81" s="55" t="n"/>
      <c r="G81" s="49" t="n"/>
      <c r="H81" s="56">
        <f>IFERROR(E81/G81*1000,"")</f>
        <v/>
      </c>
    </row>
    <row r="82" ht="15" customHeight="1" s="28">
      <c r="A82" s="51" t="n"/>
      <c r="E82" s="55" t="n"/>
      <c r="G82" s="49" t="n"/>
      <c r="H82" s="56">
        <f>IFERROR(E82/G82*1000,"")</f>
        <v/>
      </c>
    </row>
    <row r="83" ht="15" customHeight="1" s="28">
      <c r="A83" s="51" t="n"/>
      <c r="E83" s="55" t="n"/>
      <c r="G83" s="49" t="n"/>
      <c r="H83" s="56">
        <f>IFERROR(E83/G83*1000,"")</f>
        <v/>
      </c>
    </row>
    <row r="84" ht="15" customHeight="1" s="28">
      <c r="A84" s="51" t="n"/>
      <c r="E84" s="55" t="n"/>
      <c r="G84" s="49" t="n"/>
      <c r="H84" s="56">
        <f>IFERROR(E84/G84*1000,"")</f>
        <v/>
      </c>
    </row>
    <row r="85" ht="15" customHeight="1" s="28">
      <c r="A85" s="51" t="n"/>
      <c r="E85" s="55" t="n"/>
      <c r="G85" s="49" t="n"/>
      <c r="H85" s="56">
        <f>IFERROR(E85/G85*1000,"")</f>
        <v/>
      </c>
    </row>
    <row r="86" ht="15" customHeight="1" s="28">
      <c r="A86" s="51" t="n"/>
      <c r="E86" s="55" t="n"/>
      <c r="G86" s="49" t="n"/>
      <c r="H86" s="56">
        <f>IFERROR(E86/G86*1000,"")</f>
        <v/>
      </c>
    </row>
    <row r="87" ht="15" customHeight="1" s="28">
      <c r="A87" s="51" t="n"/>
      <c r="E87" s="55" t="n"/>
      <c r="G87" s="49" t="n"/>
      <c r="H87" s="56">
        <f>IFERROR(E87/G87*1000,"")</f>
        <v/>
      </c>
    </row>
    <row r="88" ht="15" customHeight="1" s="28">
      <c r="A88" s="51" t="n"/>
      <c r="E88" s="55" t="n"/>
      <c r="G88" s="49" t="n"/>
      <c r="H88" s="56">
        <f>IFERROR(E88/G88*1000,"")</f>
        <v/>
      </c>
    </row>
    <row r="89" ht="15" customHeight="1" s="28">
      <c r="A89" s="51" t="n"/>
      <c r="E89" s="55" t="n"/>
      <c r="G89" s="49" t="n"/>
      <c r="H89" s="56">
        <f>IFERROR(E89/G89*1000,"")</f>
        <v/>
      </c>
    </row>
    <row r="90" ht="15" customHeight="1" s="28">
      <c r="A90" s="51" t="n"/>
      <c r="E90" s="55" t="n"/>
      <c r="G90" s="49" t="n"/>
      <c r="H90" s="56">
        <f>IFERROR(E90/G90*1000,"")</f>
        <v/>
      </c>
    </row>
    <row r="91" ht="15" customHeight="1" s="28">
      <c r="A91" s="51" t="n"/>
      <c r="E91" s="55" t="n"/>
      <c r="G91" s="49" t="n"/>
      <c r="H91" s="56">
        <f>IFERROR(E91/G91*1000,"")</f>
        <v/>
      </c>
    </row>
    <row r="92" ht="15" customHeight="1" s="28">
      <c r="A92" s="51" t="n"/>
      <c r="E92" s="55" t="n"/>
      <c r="G92" s="49" t="n"/>
      <c r="H92" s="56">
        <f>IFERROR(E92/G92*1000,"")</f>
        <v/>
      </c>
    </row>
    <row r="93" ht="15" customHeight="1" s="28">
      <c r="A93" s="51" t="n"/>
      <c r="E93" s="55" t="n"/>
      <c r="G93" s="49" t="n"/>
      <c r="H93" s="56">
        <f>IFERROR(E93/G93*1000,"")</f>
        <v/>
      </c>
    </row>
    <row r="94" ht="15" customHeight="1" s="28">
      <c r="A94" s="51" t="n"/>
      <c r="E94" s="55" t="n"/>
      <c r="G94" s="49" t="n"/>
      <c r="H94" s="56">
        <f>IFERROR(E94/G94*1000,"")</f>
        <v/>
      </c>
    </row>
    <row r="95" ht="15" customHeight="1" s="28">
      <c r="A95" s="51" t="n"/>
      <c r="E95" s="55" t="n"/>
      <c r="G95" s="49" t="n"/>
      <c r="H95" s="56">
        <f>IFERROR(E95/G95*1000,"")</f>
        <v/>
      </c>
    </row>
    <row r="96" ht="15" customHeight="1" s="28">
      <c r="A96" s="51" t="n"/>
      <c r="E96" s="55" t="n"/>
      <c r="G96" s="49" t="n"/>
      <c r="H96" s="56">
        <f>IFERROR(E96/G96*1000,"")</f>
        <v/>
      </c>
    </row>
    <row r="97" ht="15" customHeight="1" s="28">
      <c r="A97" s="51" t="n"/>
      <c r="E97" s="55" t="n"/>
      <c r="G97" s="49" t="n"/>
      <c r="H97" s="56">
        <f>IFERROR(E97/G97*1000,"")</f>
        <v/>
      </c>
    </row>
    <row r="98" ht="15" customHeight="1" s="28">
      <c r="A98" s="51" t="n"/>
      <c r="E98" s="55" t="n"/>
      <c r="G98" s="49" t="n"/>
      <c r="H98" s="56">
        <f>IFERROR(E98/G98*1000,"")</f>
        <v/>
      </c>
    </row>
    <row r="99" ht="15" customHeight="1" s="28">
      <c r="A99" s="51" t="n"/>
      <c r="E99" s="55" t="n"/>
      <c r="G99" s="49" t="n"/>
      <c r="H99" s="56">
        <f>IFERROR(E99/G99*1000,"")</f>
        <v/>
      </c>
    </row>
    <row r="100" ht="15" customHeight="1" s="28">
      <c r="A100" s="51" t="n"/>
      <c r="E100" s="55" t="n"/>
      <c r="G100" s="49" t="n"/>
      <c r="H100" s="56">
        <f>IFERROR(E100/G100*1000,"")</f>
        <v/>
      </c>
    </row>
    <row r="101" ht="15" customHeight="1" s="28">
      <c r="A101" s="51" t="n"/>
      <c r="E101" s="55" t="n"/>
      <c r="G101" s="49" t="n"/>
      <c r="H101" s="56">
        <f>IFERROR(E101/G101*1000,"")</f>
        <v/>
      </c>
    </row>
    <row r="102" ht="15" customHeight="1" s="28">
      <c r="A102" s="51" t="n"/>
      <c r="E102" s="55" t="n"/>
      <c r="G102" s="49" t="n"/>
      <c r="H102" s="56">
        <f>IFERROR(E102/G102*1000,"")</f>
        <v/>
      </c>
    </row>
    <row r="103" ht="15" customHeight="1" s="28">
      <c r="A103" s="51" t="n"/>
      <c r="E103" s="55" t="n"/>
      <c r="G103" s="49" t="n"/>
      <c r="H103" s="56">
        <f>IFERROR(E103/G103*1000,"")</f>
        <v/>
      </c>
    </row>
    <row r="104" ht="15" customHeight="1" s="28">
      <c r="A104" s="51" t="n"/>
      <c r="E104" s="55" t="n"/>
      <c r="G104" s="49" t="n"/>
      <c r="H104" s="56">
        <f>IFERROR(E104/G104*1000,"")</f>
        <v/>
      </c>
    </row>
    <row r="105" ht="15" customHeight="1" s="28">
      <c r="A105" s="51" t="n"/>
      <c r="E105" s="55" t="n"/>
      <c r="G105" s="49" t="n"/>
      <c r="H105" s="56">
        <f>IFERROR(E105/G105*1000,"")</f>
        <v/>
      </c>
    </row>
    <row r="106" ht="15" customHeight="1" s="28">
      <c r="A106" s="51" t="n"/>
      <c r="E106" s="55" t="n"/>
      <c r="G106" s="49" t="n"/>
      <c r="H106" s="56">
        <f>IFERROR(E106/G106*1000,"")</f>
        <v/>
      </c>
    </row>
    <row r="107" ht="15" customHeight="1" s="28">
      <c r="A107" s="51" t="n"/>
      <c r="E107" s="55" t="n"/>
      <c r="G107" s="49" t="n"/>
      <c r="H107" s="56">
        <f>IFERROR(E107/G107*1000,"")</f>
        <v/>
      </c>
    </row>
    <row r="108" ht="15" customHeight="1" s="28">
      <c r="A108" s="51" t="n"/>
      <c r="E108" s="55" t="n"/>
      <c r="G108" s="49" t="n"/>
      <c r="H108" s="56">
        <f>IFERROR(E108/G108*1000,"")</f>
        <v/>
      </c>
    </row>
    <row r="109" ht="15" customHeight="1" s="28">
      <c r="A109" s="51" t="n"/>
      <c r="E109" s="55" t="n"/>
      <c r="G109" s="49" t="n"/>
      <c r="H109" s="56">
        <f>IFERROR(E109/G109*1000,"")</f>
        <v/>
      </c>
    </row>
    <row r="110" ht="15" customHeight="1" s="28">
      <c r="A110" s="51" t="n"/>
      <c r="E110" s="55" t="n"/>
      <c r="G110" s="49" t="n"/>
      <c r="H110" s="56">
        <f>IFERROR(E110/G110*1000,"")</f>
        <v/>
      </c>
    </row>
    <row r="111" ht="15" customHeight="1" s="28">
      <c r="A111" s="51" t="n"/>
      <c r="E111" s="55" t="n"/>
      <c r="G111" s="49" t="n"/>
      <c r="H111" s="56">
        <f>IFERROR(E111/G111*1000,"")</f>
        <v/>
      </c>
    </row>
    <row r="112" ht="15" customHeight="1" s="28">
      <c r="A112" s="51" t="n"/>
      <c r="E112" s="55" t="n"/>
      <c r="G112" s="49" t="n"/>
      <c r="H112" s="56">
        <f>IFERROR(E112/G112*1000,"")</f>
        <v/>
      </c>
    </row>
    <row r="113" ht="15" customHeight="1" s="28">
      <c r="A113" s="51" t="n"/>
      <c r="E113" s="55" t="n"/>
      <c r="G113" s="49" t="n"/>
      <c r="H113" s="56">
        <f>IFERROR(E113/G113*1000,"")</f>
        <v/>
      </c>
    </row>
    <row r="114" ht="15" customHeight="1" s="28">
      <c r="A114" s="51" t="n"/>
      <c r="E114" s="55" t="n"/>
      <c r="G114" s="49" t="n"/>
      <c r="H114" s="56">
        <f>IFERROR(E114/G114*1000,"")</f>
        <v/>
      </c>
    </row>
    <row r="115" ht="15" customHeight="1" s="28">
      <c r="A115" s="51" t="n"/>
      <c r="E115" s="55" t="n"/>
      <c r="G115" s="49" t="n"/>
      <c r="H115" s="56">
        <f>IFERROR(E115/G115*1000,"")</f>
        <v/>
      </c>
    </row>
    <row r="116" ht="15" customHeight="1" s="28">
      <c r="A116" s="51" t="n"/>
      <c r="E116" s="55" t="n"/>
      <c r="G116" s="49" t="n"/>
      <c r="H116" s="56">
        <f>IFERROR(E116/G116*1000,"")</f>
        <v/>
      </c>
    </row>
    <row r="117" ht="15" customHeight="1" s="28">
      <c r="A117" s="51" t="n"/>
      <c r="E117" s="55" t="n"/>
      <c r="G117" s="49" t="n"/>
      <c r="H117" s="56">
        <f>IFERROR(E117/G117*1000,"")</f>
        <v/>
      </c>
    </row>
    <row r="118" ht="15" customHeight="1" s="28">
      <c r="A118" s="51" t="n"/>
      <c r="E118" s="55" t="n"/>
      <c r="G118" s="49" t="n"/>
      <c r="H118" s="56">
        <f>IFERROR(E118/G118*1000,"")</f>
        <v/>
      </c>
    </row>
    <row r="119" ht="15" customHeight="1" s="28">
      <c r="A119" s="51" t="n"/>
      <c r="E119" s="55" t="n"/>
      <c r="G119" s="49" t="n"/>
      <c r="H119" s="56">
        <f>IFERROR(E119/G119*1000,"")</f>
        <v/>
      </c>
    </row>
    <row r="120" ht="15" customHeight="1" s="28">
      <c r="A120" s="51" t="n"/>
      <c r="E120" s="55" t="n"/>
      <c r="G120" s="49" t="n"/>
      <c r="H120" s="56">
        <f>IFERROR(E120/G120*1000,"")</f>
        <v/>
      </c>
    </row>
    <row r="121" ht="15" customHeight="1" s="28">
      <c r="A121" s="51" t="n"/>
      <c r="E121" s="55" t="n"/>
      <c r="G121" s="49" t="n"/>
      <c r="H121" s="56">
        <f>IFERROR(E121/G121*1000,"")</f>
        <v/>
      </c>
    </row>
    <row r="122" ht="15" customHeight="1" s="28">
      <c r="A122" s="51" t="n"/>
      <c r="E122" s="55" t="n"/>
      <c r="G122" s="49" t="n"/>
      <c r="H122" s="56">
        <f>IFERROR(E122/G122*1000,"")</f>
        <v/>
      </c>
    </row>
    <row r="123" ht="15" customHeight="1" s="28">
      <c r="A123" s="51" t="n"/>
      <c r="E123" s="55" t="n"/>
      <c r="G123" s="49" t="n"/>
      <c r="H123" s="56">
        <f>IFERROR(E123/G123*1000,"")</f>
        <v/>
      </c>
    </row>
    <row r="124" ht="15" customHeight="1" s="28">
      <c r="A124" s="51" t="n"/>
      <c r="E124" s="55" t="n"/>
      <c r="G124" s="49" t="n"/>
      <c r="H124" s="56">
        <f>IFERROR(E124/G124*1000,"")</f>
        <v/>
      </c>
    </row>
    <row r="125" ht="15" customHeight="1" s="28">
      <c r="A125" s="51" t="n"/>
      <c r="E125" s="55" t="n"/>
      <c r="G125" s="49" t="n"/>
      <c r="H125" s="56">
        <f>IFERROR(E125/G125*1000,"")</f>
        <v/>
      </c>
    </row>
    <row r="126" ht="15" customHeight="1" s="28">
      <c r="A126" s="51" t="n"/>
      <c r="E126" s="55" t="n"/>
      <c r="G126" s="49" t="n"/>
      <c r="H126" s="56">
        <f>IFERROR(E126/G126*1000,"")</f>
        <v/>
      </c>
    </row>
    <row r="127" ht="15" customHeight="1" s="28">
      <c r="A127" s="51" t="n"/>
      <c r="E127" s="55" t="n"/>
      <c r="G127" s="49" t="n"/>
      <c r="H127" s="56">
        <f>IFERROR(E127/G127*1000,"")</f>
        <v/>
      </c>
    </row>
    <row r="128" ht="15" customHeight="1" s="28">
      <c r="A128" s="51" t="n"/>
      <c r="E128" s="55" t="n"/>
      <c r="G128" s="49" t="n"/>
      <c r="H128" s="56">
        <f>IFERROR(E128/G128*1000,"")</f>
        <v/>
      </c>
    </row>
    <row r="129" ht="15" customHeight="1" s="28">
      <c r="A129" s="51" t="n"/>
      <c r="E129" s="55" t="n"/>
      <c r="G129" s="49" t="n"/>
      <c r="H129" s="56">
        <f>IFERROR(E129/G129*1000,"")</f>
        <v/>
      </c>
    </row>
    <row r="130" ht="15" customHeight="1" s="28">
      <c r="A130" s="51" t="n"/>
      <c r="E130" s="55" t="n"/>
      <c r="G130" s="49" t="n"/>
      <c r="H130" s="56">
        <f>IFERROR(E130/G130*1000,"")</f>
        <v/>
      </c>
    </row>
    <row r="131" ht="15" customHeight="1" s="28">
      <c r="A131" s="51" t="n"/>
      <c r="E131" s="55" t="n"/>
      <c r="G131" s="49" t="n"/>
      <c r="H131" s="56">
        <f>IFERROR(E131/G131*1000,"")</f>
        <v/>
      </c>
    </row>
    <row r="132" ht="15" customHeight="1" s="28">
      <c r="A132" s="51" t="n"/>
      <c r="E132" s="55" t="n"/>
      <c r="G132" s="49" t="n"/>
      <c r="H132" s="56">
        <f>IFERROR(E132/G132*1000,"")</f>
        <v/>
      </c>
    </row>
    <row r="133" ht="15" customHeight="1" s="28">
      <c r="A133" s="51" t="n"/>
      <c r="E133" s="55" t="n"/>
      <c r="G133" s="49" t="n"/>
      <c r="H133" s="56">
        <f>IFERROR(E133/G133*1000,"")</f>
        <v/>
      </c>
    </row>
    <row r="134" ht="15" customHeight="1" s="28">
      <c r="A134" s="51" t="n"/>
      <c r="E134" s="55" t="n"/>
      <c r="G134" s="49" t="n"/>
      <c r="H134" s="56">
        <f>IFERROR(E134/G134*1000,"")</f>
        <v/>
      </c>
    </row>
    <row r="135" ht="15" customHeight="1" s="28">
      <c r="A135" s="51" t="n"/>
      <c r="E135" s="55" t="n"/>
      <c r="G135" s="49" t="n"/>
      <c r="H135" s="56">
        <f>IFERROR(E135/G135*1000,"")</f>
        <v/>
      </c>
    </row>
    <row r="136" ht="15" customHeight="1" s="28">
      <c r="A136" s="51" t="n"/>
      <c r="E136" s="55" t="n"/>
      <c r="G136" s="49" t="n"/>
      <c r="H136" s="56">
        <f>IFERROR(E136/G136*1000,"")</f>
        <v/>
      </c>
    </row>
    <row r="137" ht="15" customHeight="1" s="28">
      <c r="A137" s="51" t="n"/>
      <c r="E137" s="55" t="n"/>
      <c r="G137" s="49" t="n"/>
      <c r="H137" s="56">
        <f>IFERROR(E137/G137*1000,"")</f>
        <v/>
      </c>
    </row>
    <row r="138" ht="15" customHeight="1" s="28">
      <c r="A138" s="51" t="n"/>
      <c r="E138" s="55" t="n"/>
      <c r="G138" s="49" t="n"/>
      <c r="H138" s="56">
        <f>IFERROR(E138/G138*1000,"")</f>
        <v/>
      </c>
    </row>
    <row r="139" ht="15" customHeight="1" s="28">
      <c r="A139" s="51" t="n"/>
      <c r="E139" s="55" t="n"/>
      <c r="G139" s="49" t="n"/>
      <c r="H139" s="56">
        <f>IFERROR(E139/G139*1000,"")</f>
        <v/>
      </c>
    </row>
    <row r="140" ht="15" customHeight="1" s="28">
      <c r="A140" s="51" t="n"/>
      <c r="E140" s="55" t="n"/>
      <c r="G140" s="49" t="n"/>
      <c r="H140" s="56">
        <f>IFERROR(E140/G140*1000,"")</f>
        <v/>
      </c>
    </row>
    <row r="141" ht="15" customHeight="1" s="28">
      <c r="A141" s="51" t="n"/>
      <c r="E141" s="55" t="n"/>
      <c r="G141" s="49" t="n"/>
      <c r="H141" s="56">
        <f>IFERROR(E141/G141*1000,"")</f>
        <v/>
      </c>
    </row>
    <row r="142" ht="15" customHeight="1" s="28">
      <c r="A142" s="51" t="n"/>
      <c r="E142" s="55" t="n"/>
      <c r="G142" s="49" t="n"/>
      <c r="H142" s="56">
        <f>IFERROR(E142/G142*1000,"")</f>
        <v/>
      </c>
    </row>
    <row r="143" ht="15" customHeight="1" s="28">
      <c r="A143" s="51" t="n"/>
      <c r="E143" s="55" t="n"/>
      <c r="G143" s="49" t="n"/>
      <c r="H143" s="56">
        <f>IFERROR(E143/G143*1000,"")</f>
        <v/>
      </c>
    </row>
    <row r="144" ht="15" customHeight="1" s="28">
      <c r="A144" s="51" t="n"/>
      <c r="E144" s="55" t="n"/>
      <c r="G144" s="49" t="n"/>
      <c r="H144" s="56">
        <f>IFERROR(E144/G144*1000,"")</f>
        <v/>
      </c>
    </row>
    <row r="145" ht="15" customHeight="1" s="28">
      <c r="A145" s="51" t="n"/>
      <c r="E145" s="55" t="n"/>
      <c r="G145" s="49" t="n"/>
      <c r="H145" s="56">
        <f>IFERROR(E145/G145*1000,"")</f>
        <v/>
      </c>
    </row>
    <row r="146" ht="15" customHeight="1" s="28">
      <c r="A146" s="51" t="n"/>
      <c r="E146" s="55" t="n"/>
      <c r="G146" s="49" t="n"/>
      <c r="H146" s="56">
        <f>IFERROR(E146/G146*1000,"")</f>
        <v/>
      </c>
    </row>
    <row r="147" ht="15" customHeight="1" s="28">
      <c r="A147" s="51" t="n"/>
      <c r="E147" s="55" t="n"/>
      <c r="G147" s="49" t="n"/>
      <c r="H147" s="56">
        <f>IFERROR(E147/G147*1000,"")</f>
        <v/>
      </c>
    </row>
    <row r="148" ht="15" customHeight="1" s="28">
      <c r="A148" s="51" t="n"/>
      <c r="E148" s="55" t="n"/>
      <c r="G148" s="49" t="n"/>
      <c r="H148" s="56">
        <f>IFERROR(E148/G148*1000,"")</f>
        <v/>
      </c>
    </row>
    <row r="149" ht="15" customHeight="1" s="28">
      <c r="A149" s="51" t="n"/>
      <c r="E149" s="55" t="n"/>
      <c r="G149" s="49" t="n"/>
      <c r="H149" s="56">
        <f>IFERROR(E149/G149*1000,"")</f>
        <v/>
      </c>
    </row>
    <row r="150" ht="15" customHeight="1" s="28">
      <c r="A150" s="51" t="n"/>
      <c r="E150" s="55" t="n"/>
      <c r="G150" s="49" t="n"/>
      <c r="H150" s="56">
        <f>IFERROR(E150/G150*1000,"")</f>
        <v/>
      </c>
    </row>
    <row r="151" ht="15" customHeight="1" s="28">
      <c r="A151" s="51" t="n"/>
      <c r="E151" s="55" t="n"/>
      <c r="G151" s="49" t="n"/>
      <c r="H151" s="56">
        <f>IFERROR(E151/G151*1000,"")</f>
        <v/>
      </c>
    </row>
    <row r="152" ht="15" customHeight="1" s="28">
      <c r="A152" s="51" t="n"/>
      <c r="E152" s="55" t="n"/>
      <c r="G152" s="49" t="n"/>
      <c r="H152" s="56">
        <f>IFERROR(E152/G152*1000,"")</f>
        <v/>
      </c>
    </row>
    <row r="153" ht="15" customHeight="1" s="28">
      <c r="A153" s="51" t="n"/>
      <c r="E153" s="55" t="n"/>
      <c r="G153" s="49" t="n"/>
      <c r="H153" s="56">
        <f>IFERROR(E153/G153*1000,"")</f>
        <v/>
      </c>
    </row>
    <row r="154" ht="15" customHeight="1" s="28">
      <c r="A154" s="51" t="n"/>
      <c r="E154" s="55" t="n"/>
      <c r="G154" s="49" t="n"/>
      <c r="H154" s="56">
        <f>IFERROR(E154/G154*1000,"")</f>
        <v/>
      </c>
    </row>
    <row r="155" ht="15" customHeight="1" s="28">
      <c r="A155" s="51" t="n"/>
      <c r="E155" s="55" t="n"/>
      <c r="G155" s="49" t="n"/>
      <c r="H155" s="56">
        <f>IFERROR(E155/G155*1000,"")</f>
        <v/>
      </c>
    </row>
    <row r="156" ht="15" customHeight="1" s="28">
      <c r="A156" s="51" t="n"/>
      <c r="E156" s="55" t="n"/>
      <c r="G156" s="49" t="n"/>
      <c r="H156" s="56">
        <f>IFERROR(E156/G156*1000,"")</f>
        <v/>
      </c>
    </row>
    <row r="157" ht="15" customHeight="1" s="28">
      <c r="A157" s="51" t="n"/>
      <c r="E157" s="55" t="n"/>
      <c r="G157" s="49" t="n"/>
      <c r="H157" s="56">
        <f>IFERROR(E157/G157*1000,"")</f>
        <v/>
      </c>
    </row>
    <row r="158" ht="15" customHeight="1" s="28">
      <c r="A158" s="51" t="n"/>
      <c r="E158" s="55" t="n"/>
      <c r="G158" s="49" t="n"/>
      <c r="H158" s="56">
        <f>IFERROR(E158/G158*1000,"")</f>
        <v/>
      </c>
    </row>
    <row r="159" ht="15" customHeight="1" s="28">
      <c r="A159" s="51" t="n"/>
      <c r="E159" s="55" t="n"/>
      <c r="G159" s="49" t="n"/>
      <c r="H159" s="56">
        <f>IFERROR(E159/G159*1000,"")</f>
        <v/>
      </c>
    </row>
    <row r="160" ht="15" customHeight="1" s="28">
      <c r="A160" s="51" t="n"/>
      <c r="E160" s="55" t="n"/>
      <c r="G160" s="49" t="n"/>
      <c r="H160" s="56">
        <f>IFERROR(E160/G160*1000,"")</f>
        <v/>
      </c>
    </row>
    <row r="161" ht="15" customHeight="1" s="28">
      <c r="A161" s="51" t="n"/>
      <c r="E161" s="55" t="n"/>
      <c r="G161" s="49" t="n"/>
      <c r="H161" s="56">
        <f>IFERROR(E161/G161*1000,"")</f>
        <v/>
      </c>
    </row>
    <row r="162" ht="15" customHeight="1" s="28">
      <c r="A162" s="51" t="n"/>
      <c r="E162" s="55" t="n"/>
      <c r="G162" s="49" t="n"/>
      <c r="H162" s="56">
        <f>IFERROR(E162/G162*1000,"")</f>
        <v/>
      </c>
    </row>
    <row r="163" ht="15" customHeight="1" s="28">
      <c r="A163" s="51" t="n"/>
      <c r="E163" s="55" t="n"/>
      <c r="G163" s="49" t="n"/>
      <c r="H163" s="56">
        <f>IFERROR(E163/G163*1000,"")</f>
        <v/>
      </c>
    </row>
    <row r="164" ht="15" customHeight="1" s="28">
      <c r="A164" s="51" t="n"/>
      <c r="E164" s="55" t="n"/>
      <c r="G164" s="49" t="n"/>
      <c r="H164" s="56">
        <f>IFERROR(E164/G164*1000,"")</f>
        <v/>
      </c>
    </row>
    <row r="165" ht="15" customHeight="1" s="28">
      <c r="A165" s="51" t="n"/>
      <c r="E165" s="55" t="n"/>
      <c r="G165" s="49" t="n"/>
      <c r="H165" s="56">
        <f>IFERROR(E165/G165*1000,"")</f>
        <v/>
      </c>
    </row>
    <row r="166" ht="15" customHeight="1" s="28">
      <c r="A166" s="51" t="n"/>
      <c r="E166" s="55" t="n"/>
      <c r="G166" s="49" t="n"/>
      <c r="H166" s="56">
        <f>IFERROR(E166/G166*1000,"")</f>
        <v/>
      </c>
    </row>
    <row r="167" ht="15" customHeight="1" s="28">
      <c r="A167" s="51" t="n"/>
      <c r="E167" s="55" t="n"/>
      <c r="G167" s="49" t="n"/>
      <c r="H167" s="56">
        <f>IFERROR(E167/G167*1000,"")</f>
        <v/>
      </c>
    </row>
    <row r="168" ht="15" customHeight="1" s="28">
      <c r="A168" s="51" t="n"/>
      <c r="E168" s="55" t="n"/>
      <c r="G168" s="49" t="n"/>
      <c r="H168" s="56">
        <f>IFERROR(E168/G168*1000,"")</f>
        <v/>
      </c>
    </row>
    <row r="169" ht="15" customHeight="1" s="28">
      <c r="A169" s="51" t="n"/>
      <c r="E169" s="55" t="n"/>
      <c r="G169" s="49" t="n"/>
      <c r="H169" s="56">
        <f>IFERROR(E169/G169*1000,"")</f>
        <v/>
      </c>
    </row>
    <row r="170" ht="15" customHeight="1" s="28">
      <c r="A170" s="51" t="n"/>
      <c r="E170" s="55" t="n"/>
      <c r="G170" s="49" t="n"/>
      <c r="H170" s="56">
        <f>IFERROR(E170/G170*1000,"")</f>
        <v/>
      </c>
    </row>
    <row r="171" ht="15" customHeight="1" s="28">
      <c r="A171" s="51" t="n"/>
      <c r="E171" s="55" t="n"/>
      <c r="G171" s="49" t="n"/>
      <c r="H171" s="56">
        <f>IFERROR(E171/G171*1000,"")</f>
        <v/>
      </c>
    </row>
    <row r="172" ht="15" customHeight="1" s="28">
      <c r="A172" s="51" t="n"/>
      <c r="E172" s="55" t="n"/>
      <c r="G172" s="49" t="n"/>
      <c r="H172" s="56">
        <f>IFERROR(E172/G172*1000,"")</f>
        <v/>
      </c>
    </row>
    <row r="173" ht="15" customHeight="1" s="28">
      <c r="A173" s="51" t="n"/>
      <c r="E173" s="55" t="n"/>
      <c r="G173" s="49" t="n"/>
      <c r="H173" s="56">
        <f>IFERROR(E173/G173*1000,"")</f>
        <v/>
      </c>
    </row>
    <row r="174" ht="15" customHeight="1" s="28">
      <c r="A174" s="51" t="n"/>
      <c r="E174" s="55" t="n"/>
      <c r="G174" s="49" t="n"/>
      <c r="H174" s="56">
        <f>IFERROR(E174/G174*1000,"")</f>
        <v/>
      </c>
    </row>
    <row r="175" ht="15" customHeight="1" s="28">
      <c r="A175" s="51" t="n"/>
      <c r="E175" s="55" t="n"/>
      <c r="G175" s="49" t="n"/>
      <c r="H175" s="56">
        <f>IFERROR(E175/G175*1000,"")</f>
        <v/>
      </c>
    </row>
    <row r="176" ht="15" customHeight="1" s="28">
      <c r="A176" s="51" t="n"/>
      <c r="E176" s="55" t="n"/>
      <c r="G176" s="49" t="n"/>
      <c r="H176" s="56">
        <f>IFERROR(E176/G176*1000,"")</f>
        <v/>
      </c>
    </row>
    <row r="177" ht="15" customHeight="1" s="28">
      <c r="A177" s="51" t="n"/>
      <c r="E177" s="55" t="n"/>
      <c r="G177" s="49" t="n"/>
      <c r="H177" s="56">
        <f>IFERROR(E177/G177*1000,"")</f>
        <v/>
      </c>
    </row>
    <row r="178" ht="15" customHeight="1" s="28">
      <c r="A178" s="51" t="n"/>
      <c r="E178" s="55" t="n"/>
      <c r="G178" s="49" t="n"/>
      <c r="H178" s="56">
        <f>IFERROR(E178/G178*1000,"")</f>
        <v/>
      </c>
    </row>
    <row r="179" ht="15" customHeight="1" s="28">
      <c r="A179" s="51" t="n"/>
      <c r="E179" s="55" t="n"/>
      <c r="G179" s="49" t="n"/>
      <c r="H179" s="56">
        <f>IFERROR(E179/G179*1000,"")</f>
        <v/>
      </c>
    </row>
    <row r="180" ht="15" customHeight="1" s="28">
      <c r="A180" s="51" t="n"/>
      <c r="E180" s="55" t="n"/>
      <c r="G180" s="49" t="n"/>
      <c r="H180" s="56">
        <f>IFERROR(E180/G180*1000,"")</f>
        <v/>
      </c>
    </row>
    <row r="181" ht="15" customHeight="1" s="28">
      <c r="A181" s="51" t="n"/>
      <c r="E181" s="55" t="n"/>
      <c r="G181" s="49" t="n"/>
      <c r="H181" s="56">
        <f>IFERROR(E181/G181*1000,"")</f>
        <v/>
      </c>
    </row>
    <row r="182" ht="15" customHeight="1" s="28">
      <c r="A182" s="51" t="n"/>
      <c r="E182" s="55" t="n"/>
      <c r="G182" s="49" t="n"/>
      <c r="H182" s="56">
        <f>IFERROR(E182/G182*1000,"")</f>
        <v/>
      </c>
    </row>
    <row r="183" ht="15" customHeight="1" s="28">
      <c r="A183" s="51" t="n"/>
      <c r="E183" s="55" t="n"/>
      <c r="G183" s="49" t="n"/>
      <c r="H183" s="56">
        <f>IFERROR(E183/G183*1000,"")</f>
        <v/>
      </c>
    </row>
    <row r="184" ht="15" customHeight="1" s="28">
      <c r="A184" s="51" t="n"/>
      <c r="E184" s="55" t="n"/>
      <c r="G184" s="49" t="n"/>
      <c r="H184" s="56">
        <f>IFERROR(E184/G184*1000,"")</f>
        <v/>
      </c>
    </row>
    <row r="185" ht="15" customHeight="1" s="28">
      <c r="A185" s="51" t="n"/>
      <c r="E185" s="55" t="n"/>
      <c r="G185" s="49" t="n"/>
      <c r="H185" s="56">
        <f>IFERROR(E185/G185*1000,"")</f>
        <v/>
      </c>
    </row>
    <row r="186" ht="15" customHeight="1" s="28">
      <c r="A186" s="51" t="n"/>
      <c r="E186" s="55" t="n"/>
      <c r="G186" s="49" t="n"/>
      <c r="H186" s="56">
        <f>IFERROR(E186/G186*1000,"")</f>
        <v/>
      </c>
    </row>
    <row r="187" ht="15" customHeight="1" s="28">
      <c r="A187" s="51" t="n"/>
      <c r="E187" s="55" t="n"/>
      <c r="G187" s="49" t="n"/>
      <c r="H187" s="56">
        <f>IFERROR(E187/G187*1000,"")</f>
        <v/>
      </c>
    </row>
    <row r="188" ht="15" customHeight="1" s="28">
      <c r="A188" s="51" t="n"/>
      <c r="E188" s="55" t="n"/>
      <c r="G188" s="49" t="n"/>
      <c r="H188" s="56">
        <f>IFERROR(E188/G188*1000,"")</f>
        <v/>
      </c>
    </row>
    <row r="189" ht="15" customHeight="1" s="28">
      <c r="A189" s="51" t="n"/>
      <c r="E189" s="55" t="n"/>
      <c r="G189" s="49" t="n"/>
      <c r="H189" s="56">
        <f>IFERROR(E189/G189*1000,"")</f>
        <v/>
      </c>
    </row>
    <row r="190" ht="15" customHeight="1" s="28">
      <c r="A190" s="51" t="n"/>
      <c r="E190" s="55" t="n"/>
      <c r="G190" s="49" t="n"/>
      <c r="H190" s="56">
        <f>IFERROR(E190/G190*1000,"")</f>
        <v/>
      </c>
    </row>
    <row r="191" ht="15" customHeight="1" s="28">
      <c r="A191" s="51" t="n"/>
      <c r="E191" s="55" t="n"/>
      <c r="G191" s="49" t="n"/>
      <c r="H191" s="56">
        <f>IFERROR(E191/G191*1000,"")</f>
        <v/>
      </c>
    </row>
    <row r="192" ht="15" customHeight="1" s="28">
      <c r="A192" s="51" t="n"/>
      <c r="E192" s="55" t="n"/>
      <c r="G192" s="49" t="n"/>
      <c r="H192" s="56">
        <f>IFERROR(E192/G192*1000,"")</f>
        <v/>
      </c>
    </row>
    <row r="193" ht="15" customHeight="1" s="28">
      <c r="A193" s="51" t="n"/>
      <c r="E193" s="55" t="n"/>
      <c r="G193" s="49" t="n"/>
      <c r="H193" s="56">
        <f>IFERROR(E193/G193*1000,"")</f>
        <v/>
      </c>
    </row>
    <row r="194" ht="15" customHeight="1" s="28">
      <c r="A194" s="51" t="n"/>
      <c r="E194" s="55" t="n"/>
      <c r="G194" s="49" t="n"/>
      <c r="H194" s="56">
        <f>IFERROR(E194/G194*1000,"")</f>
        <v/>
      </c>
    </row>
    <row r="195" ht="15" customHeight="1" s="28">
      <c r="A195" s="51" t="n"/>
      <c r="E195" s="55" t="n"/>
      <c r="G195" s="49" t="n"/>
      <c r="H195" s="56">
        <f>IFERROR(E195/G195*1000,"")</f>
        <v/>
      </c>
    </row>
    <row r="196" ht="15" customHeight="1" s="28">
      <c r="A196" s="51" t="n"/>
      <c r="E196" s="55" t="n"/>
      <c r="G196" s="49" t="n"/>
      <c r="H196" s="56">
        <f>IFERROR(E196/G196*1000,"")</f>
        <v/>
      </c>
    </row>
    <row r="197" ht="15" customHeight="1" s="28">
      <c r="A197" s="51" t="n"/>
      <c r="E197" s="55" t="n"/>
      <c r="G197" s="49" t="n"/>
      <c r="H197" s="56">
        <f>IFERROR(E197/G197*1000,"")</f>
        <v/>
      </c>
    </row>
    <row r="198" ht="15" customHeight="1" s="28">
      <c r="A198" s="51" t="n"/>
      <c r="E198" s="55" t="n"/>
      <c r="G198" s="49" t="n"/>
      <c r="H198" s="56">
        <f>IFERROR(E198/G198*1000,"")</f>
        <v/>
      </c>
    </row>
    <row r="199" ht="15" customHeight="1" s="28">
      <c r="A199" s="51" t="n"/>
      <c r="E199" s="55" t="n"/>
      <c r="G199" s="49" t="n"/>
      <c r="H199" s="56">
        <f>IFERROR(E199/G199*1000,"")</f>
        <v/>
      </c>
    </row>
    <row r="200" ht="15" customHeight="1" s="28">
      <c r="A200" s="51" t="n"/>
      <c r="E200" s="55" t="n"/>
      <c r="G200" s="49" t="n"/>
      <c r="H200" s="56">
        <f>IFERROR(E200/G200*1000,"")</f>
        <v/>
      </c>
    </row>
    <row r="201" ht="15" customHeight="1" s="28">
      <c r="A201" s="51" t="n"/>
      <c r="E201" s="55" t="n"/>
      <c r="G201" s="49" t="n"/>
      <c r="H201" s="56">
        <f>IFERROR(E201/G201*1000,"")</f>
        <v/>
      </c>
    </row>
    <row r="202" ht="15" customHeight="1" s="28">
      <c r="A202" s="51" t="n"/>
      <c r="E202" s="55" t="n"/>
      <c r="G202" s="49" t="n"/>
      <c r="H202" s="56">
        <f>IFERROR(E202/G202*1000,"")</f>
        <v/>
      </c>
    </row>
    <row r="203" ht="15" customHeight="1" s="28">
      <c r="A203" s="51" t="n"/>
      <c r="E203" s="55" t="n"/>
      <c r="G203" s="49" t="n"/>
      <c r="H203" s="56">
        <f>IFERROR(E203/G203*1000,"")</f>
        <v/>
      </c>
    </row>
    <row r="204" ht="15" customHeight="1" s="28">
      <c r="A204" s="51" t="n"/>
      <c r="E204" s="55" t="n"/>
      <c r="G204" s="49" t="n"/>
      <c r="H204" s="56">
        <f>IFERROR(E204/G204*1000,"")</f>
        <v/>
      </c>
    </row>
  </sheetData>
  <dataValidations count="1">
    <dataValidation sqref="J5:J204" showDropDown="0" showInputMessage="0" showErrorMessage="0" allowBlank="1" type="list" errorStyle="stop" operator="between">
      <formula1>"Забронировано,Опубликовано,Снято,Оплачено,Отменено"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2026-09-21T15:49:38Z</dcterms:created>
  <dcterms:modified xsi:type="dcterms:W3CDTF">2026-09-21T16:28:50Z</dcterms:modified>
  <cp:revision>0</cp:revision>
</cp:coreProperties>
</file>